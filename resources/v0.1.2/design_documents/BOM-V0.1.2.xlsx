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thermal-loop\resources\v0.1.2\design_documents\"/>
    </mc:Choice>
  </mc:AlternateContent>
  <xr:revisionPtr revIDLastSave="0" documentId="13_ncr:1_{823F2AAE-25ED-44E6-8A76-EF5843E5E1BF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4" i="1" l="1"/>
  <c r="F123" i="1"/>
  <c r="F121" i="1"/>
  <c r="F122" i="1"/>
  <c r="F125" i="1"/>
  <c r="F126" i="1"/>
  <c r="F127" i="1"/>
  <c r="F116" i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<sst xmlns="http://schemas.openxmlformats.org/spreadsheetml/2006/main" count="470" uniqueCount="319">
  <si>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</si>
  <si>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</si>
  <si>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</si>
  <si>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</si>
  <si>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</si>
  <si>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</si>
  <si>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</si>
  <si>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</si>
  <si>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</si>
  <si>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</si>
  <si>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</si>
  <si>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</si>
  <si>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</si>
  <si>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</si>
  <si>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</si>
  <si>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</si>
  <si>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</si>
  <si>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</si>
  <si>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</si>
  <si>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</si>
  <si>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</si>
  <si>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</si>
  <si>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</si>
  <si>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</si>
  <si>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</si>
  <si>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</si>
  <si>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</si>
  <si>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</si>
  <si>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</si>
  <si>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</si>
  <si>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</si>
  <si>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</si>
  <si>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</si>
  <si>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</si>
  <si>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</si>
  <si>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</si>
  <si>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</si>
  <si>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</si>
  <si>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</si>
  <si>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</si>
  <si>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</si>
  <si>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</si>
  <si>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</si>
  <si>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</si>
  <si>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</si>
  <si>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</si>
  <si>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</si>
  <si>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</si>
  <si>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</si>
  <si>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</si>
  <si>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</si>
  <si>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</si>
  <si>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</si>
  <si>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</si>
  <si>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</si>
  <si>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</si>
  <si>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</si>
  <si>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</si>
  <si>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</si>
  <si>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</si>
  <si>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</si>
  <si>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</si>
  <si>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</si>
  <si>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</si>
  <si>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</si>
  <si>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</si>
  <si>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</si>
  <si>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</si>
  <si>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</si>
  <si>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</si>
  <si>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</si>
  <si>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</si>
  <si>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</si>
  <si>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</si>
  <si>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</si>
  <si>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</si>
  <si>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</si>
  <si>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</si>
  <si>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</si>
  <si>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</si>
  <si>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</si>
  <si>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</si>
  <si>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</si>
  <si>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</si>
  <si>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</si>
  <si>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</si>
  <si>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</si>
  <si>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</si>
  <si>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</si>
  <si>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</si>
  <si>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</si>
  <si>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</si>
  <si>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</si>
  <si>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</si>
  <si>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</si>
  <si>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</si>
  <si>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</si>
  <si>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</si>
  <si>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</si>
  <si>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</si>
  <si>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</si>
  <si>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</si>
  <si>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</si>
  <si>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</si>
  <si>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</si>
  <si>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</si>
  <si>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</si>
  <si>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</si>
  <si>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</si>
  <si>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</si>
  <si>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</si>
  <si>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</si>
  <si>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</si>
  <si>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</si>
  <si>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</si>
  <si>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</si>
  <si>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</si>
  <si>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</si>
  <si>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</si>
  <si>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</si>
  <si>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</si>
  <si>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</si>
  <si>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</si>
  <si>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</si>
  <si>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</si>
  <si>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</si>
  <si>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</si>
  <si>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</si>
  <si>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</si>
  <si>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</si>
  <si>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</si>
  <si>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</si>
  <si>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</si>
  <si>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</si>
  <si>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</si>
  <si>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</si>
  <si>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</si>
  <si>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</si>
  <si>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</si>
  <si>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</si>
  <si>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</si>
  <si>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</si>
  <si>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</si>
  <si>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</si>
  <si>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</si>
  <si>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</si>
  <si>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</si>
  <si>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</si>
  <si>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</si>
  <si>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</si>
  <si>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</si>
  <si>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</si>
  <si>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</si>
  <si>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</si>
  <si>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</si>
  <si>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</si>
  <si>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</si>
  <si>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</si>
  <si>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</si>
  <si>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</si>
  <si>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</si>
  <si>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</si>
  <si>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</si>
  <si>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</si>
  <si>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</si>
  <si>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</si>
  <si>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</si>
  <si>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</si>
  <si>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</si>
  <si>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</si>
  <si>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</si>
  <si>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</si>
  <si>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</si>
  <si>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</si>
  <si>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</si>
  <si>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</si>
  <si>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</si>
  <si>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</si>
  <si>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</si>
  <si>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</si>
  <si>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</si>
  <si>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</si>
  <si>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</si>
  <si>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</si>
  <si>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</si>
  <si>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</si>
  <si>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</si>
  <si>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</si>
  <si>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</si>
  <si>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</si>
  <si>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</si>
  <si>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</si>
  <si>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</si>
  <si>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</si>
  <si>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</si>
  <si>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</si>
  <si>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</si>
  <si>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</si>
  <si>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</si>
  <si>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</si>
  <si>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</si>
  <si>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</si>
  <si>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</si>
  <si>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</si>
  <si>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</si>
  <si>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</si>
  <si>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</si>
  <si>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</si>
  <si>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</si>
  <si>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</si>
  <si>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</si>
  <si>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</si>
  <si>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</si>
  <si>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</si>
  <si>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</si>
  <si>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</si>
  <si>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</si>
  <si>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</si>
  <si>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</si>
  <si>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</si>
  <si>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</si>
  <si>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</si>
  <si>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</si>
  <si>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</si>
  <si>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</si>
  <si>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</si>
  <si>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</si>
  <si>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</si>
  <si>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</si>
  <si>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</si>
  <si>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</si>
  <si>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</si>
  <si>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</si>
  <si>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</si>
  <si>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</si>
  <si>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</si>
  <si>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</si>
  <si>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</si>
  <si>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</si>
  <si>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</si>
  <si>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</si>
  <si>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</si>
  <si>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</si>
  <si>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</si>
  <si>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</si>
  <si>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</si>
  <si>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</si>
  <si>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</si>
  <si>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</si>
  <si>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</si>
  <si>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</si>
  <si>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</si>
  <si>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</si>
  <si>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</si>
  <si>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</si>
  <si>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</si>
  <si>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</si>
  <si>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</si>
  <si>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</si>
  <si>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</si>
  <si>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</si>
  <si>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</si>
  <si>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</si>
  <si>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</si>
  <si>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</si>
  <si>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</si>
  <si>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</si>
  <si>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</si>
  <si>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</si>
  <si>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</si>
  <si>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</si>
  <si>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</si>
  <si>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</si>
  <si>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</si>
  <si>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</si>
  <si>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</si>
  <si>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</si>
  <si>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</si>
  <si>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</si>
  <si>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</si>
  <si>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</si>
  <si>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</si>
  <si>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</si>
  <si>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</si>
  <si>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</si>
  <si>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</si>
  <si>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</si>
  <si>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</si>
  <si>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</si>
  <si>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</si>
  <si>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</si>
  <si>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</si>
  <si>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</si>
  <si>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</si>
  <si>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</si>
  <si>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</si>
  <si>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</si>
  <si>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</si>
  <si>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Lug Terminal</t>
  </si>
  <si>
    <t>Compression Lug: 3/8 in Stud Size, 4/0 AWG – 4/0 AWG For Wire Sizes, Stranded Wire Type, Std, Copper</t>
  </si>
  <si>
    <t>24C366</t>
  </si>
  <si>
    <t>3/8 in Stud Size, 4/0 AWG – 4/0 AWG For Wire Sizes, Compression Lug - 24C366|24C366 - Grainger</t>
  </si>
  <si>
    <t>NiChrome Rod joining Compression Fitting</t>
  </si>
  <si>
    <t>BB-MDR-40-48 Advantech Corporation | Industrial, DIN Rail Power Supplies | DigiKey</t>
  </si>
  <si>
    <t>MeanWell 48V Power Supply</t>
  </si>
  <si>
    <t>MDR-40-48 100-240VAC</t>
  </si>
  <si>
    <t>Flange, 304/304L Stainless Steel, Metal Pipe Flange - 60WJ74|4381000040 - Grainger</t>
  </si>
  <si>
    <t>Flange  Blind ("plug")</t>
  </si>
  <si>
    <t>Metal Pipe Flange: Flange, 304/304L Stainless Steel, 1 1/2 in Pipe Size, Class 150, Raised, 285 psi</t>
  </si>
  <si>
    <t>500A Current Sensor</t>
  </si>
  <si>
    <t>N1HLR-2700MV/KA-5V PULSE Egston | Current Sensors | DigiKey</t>
  </si>
  <si>
    <t>CURRENT SENS ROGOWSKI INTEGR 5V</t>
  </si>
  <si>
    <t>6385-N1HLR-2700MV/KA-5V-ND</t>
  </si>
  <si>
    <t>60WJ74</t>
  </si>
  <si>
    <t>TIB100A - Functional Devices TIB100A - Transformer 96VA, 120 to 24 Vac, Circuit Breaker, DIN Rail Mount</t>
  </si>
  <si>
    <t>TIB100A Functional Devices | Industrial, DIN Rail Power Supplies | DigiKey Marketplace</t>
  </si>
  <si>
    <t>120-24VAC 96VA CIRCUIT BREAKER</t>
  </si>
  <si>
    <t>2272-TIB100A-ND</t>
  </si>
  <si>
    <t>24V AC PSU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</si>
</sst>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  <xf numFmtId="0" fontId="14" fillId="0" borderId="0" xfId="0" applyFont="1"/>
    <xf numFmtId="0" fontId="1" fillId="0" borderId="0" xfId="1" applyBorder="1" applyAlignment="1">
      <alignment horizontal="left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7" totalsRowShown="0" tableBorderDxfId="7">
  <autoFilter ref="A1:K127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12" Type="http://schemas.openxmlformats.org/officeDocument/2006/relationships/hyperlink" Target="https://www.digikey.com/en/products/detail/pulse-egston/N1HLR-2700MV-KA-5V/29410171?gclid=d0e0296f6f231fb67a4543cf4f2a21d9&amp;gclsrc=3p.ds&amp;msclkid=d0e0296f6f231fb67a4543cf4f2a21d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113" Type="http://schemas.openxmlformats.org/officeDocument/2006/relationships/hyperlink" Target="https://www.supplyhouse.com/Functional-Devices-TIB100A-Transformer-96VA-120-to-24-Vac-Circuit-Breaker-DIN-Rail-Mount?msockid=277021126b6a6b6a3cca367a6a576a6d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14" Type="http://schemas.openxmlformats.org/officeDocument/2006/relationships/hyperlink" Target="https://www.digikey.com/en/products/detail/aim-dynamics/TIB100A/28736836?msockid=277021126b6a6b6a3cca367a6a576a6d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grainger.com/product/Compression-Lug-3-8-in-Stud-24C366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hyperlink" Target="https://www.digikey.com/en/products/detail/advantech-corporation/bb-mdr-40-48/7426468" TargetMode="External"/><Relationship Id="rId115" Type="http://schemas.openxmlformats.org/officeDocument/2006/relationships/printerSettings" Target="../printerSettings/printerSettings1.bin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116" Type="http://schemas.openxmlformats.org/officeDocument/2006/relationships/table" Target="../tables/table1.xm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hyperlink" Target="https://www.grainger.com/product/Metal-Pipe-Flange-Flange-60WJ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7"/>
  <sheetViews>
    <sheetView tabSelected="1" topLeftCell="E97" zoomScale="85" zoomScaleNormal="85" workbookViewId="0">
      <selection activeCell="H181" sqref="H181"/>
    </sheetView>
  </sheetViews>
  <sheetFormatPr defaultColWidth="8.7109375" defaultRowHeight="15" x14ac:dyDescent="0.25"/>
  <cols>
    <col min="1" max="1" width="39" customWidth="1"/>
    <col min="2" max="2" width="33.140625" customWidth="1"/>
    <col min="3" max="3" width="16.42578125" bestFit="1" customWidth="1"/>
    <col min="4" max="4" width="15.7109375" bestFit="1" customWidth="1"/>
    <col min="5" max="5" width="13.42578125" bestFit="1" customWidth="1"/>
    <col min="6" max="6" width="13.42578125" customWidth="1"/>
    <col min="7" max="7" width="13" customWidth="1"/>
    <col min="8" max="8" width="79" bestFit="1" customWidth="1"/>
    <col min="9" max="9" width="45.42578125" bestFit="1" customWidth="1"/>
    <col min="10" max="10" width="83.42578125" customWidth="1"/>
    <col min="11" max="11" width="62.42578125" customWidth="1"/>
    <col min="12" max="12" width="55.7109375" customWidth="1"/>
    <col min="13" max="13" width="51" customWidth="1"/>
  </cols>
  <sheetData>
    <row r="1" spans="1:13" ht="15" customHeight="1" x14ac:dyDescent="0.25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25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25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25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25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25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25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25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25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25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25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25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25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25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25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25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25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25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25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25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25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25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25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25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25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25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25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25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25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25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25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25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25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25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25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25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25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25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25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25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25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25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25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25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25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25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25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25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25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25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25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25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25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25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25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25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25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25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25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25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25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25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25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25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25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25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25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25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25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25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25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25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25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25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25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25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25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25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25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25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25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25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25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25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25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25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25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25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25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25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25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25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25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25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25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25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25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25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25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25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25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25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25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25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25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25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25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25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25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25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65" customHeight="1" x14ac:dyDescent="0.25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25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9" x14ac:dyDescent="0.25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9" x14ac:dyDescent="0.25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9" x14ac:dyDescent="0.25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9" ht="15.6" customHeight="1" x14ac:dyDescent="0.25">
      <c r="A116" s="39" t="s">
        <v>302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9" x14ac:dyDescent="0.25">
      <c r="A117" s="13" t="s">
        <v>298</v>
      </c>
      <c r="B117" s="23" t="s">
        <v>299</v>
      </c>
      <c r="C117" s="10" t="s">
        <v>300</v>
      </c>
      <c r="D117" s="8">
        <v>3</v>
      </c>
      <c r="E117" s="8">
        <v>6.37</v>
      </c>
      <c r="F117" s="6">
        <f t="shared" si="5"/>
        <v>19.11</v>
      </c>
      <c r="H117" s="1" t="s">
        <v>301</v>
      </c>
    </row>
    <row r="118" spans="1:9" x14ac:dyDescent="0.25">
      <c r="A118" s="13" t="s">
        <v>304</v>
      </c>
      <c r="B118" s="45" t="s">
        <v>305</v>
      </c>
      <c r="C118" s="10"/>
      <c r="D118" s="8">
        <v>1</v>
      </c>
      <c r="E118" s="8">
        <v>14.79</v>
      </c>
      <c r="F118" s="6">
        <f t="shared" si="5"/>
        <v>14.79</v>
      </c>
      <c r="H118" s="1" t="s">
        <v>303</v>
      </c>
    </row>
    <row r="119" spans="1:9" x14ac:dyDescent="0.25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9" x14ac:dyDescent="0.25">
      <c r="A120" s="13" t="s">
        <v>307</v>
      </c>
      <c r="B120" s="23" t="s">
        <v>308</v>
      </c>
      <c r="C120" s="10" t="s">
        <v>313</v>
      </c>
      <c r="D120" s="8">
        <v>2</v>
      </c>
      <c r="E120" s="8">
        <v>85.47</v>
      </c>
      <c r="F120" s="6">
        <f t="shared" si="5"/>
        <v>170.94</v>
      </c>
      <c r="H120" s="46" t="s">
        <v>306</v>
      </c>
    </row>
    <row r="121" spans="1:9" x14ac:dyDescent="0.25">
      <c r="A121" s="13" t="s">
        <v>309</v>
      </c>
      <c r="B121" s="23" t="s">
        <v>311</v>
      </c>
      <c r="C121" s="10" t="s">
        <v>312</v>
      </c>
      <c r="D121" s="8">
        <v>1</v>
      </c>
      <c r="E121" s="8">
        <v>90.93</v>
      </c>
      <c r="F121" s="6">
        <f t="shared" ref="F121:F127" si="6">D121*E121</f>
        <v>90.93</v>
      </c>
      <c r="H121" s="1" t="s">
        <v>310</v>
      </c>
    </row>
    <row r="122" spans="1:9" x14ac:dyDescent="0.25">
      <c r="A122" s="13"/>
      <c r="B122" s="23"/>
      <c r="C122" s="10"/>
      <c r="D122" s="8"/>
      <c r="E122" s="8"/>
      <c r="F122" s="6">
        <f t="shared" si="6"/>
        <v>0</v>
      </c>
      <c r="H122" s="10"/>
    </row>
    <row r="123" spans="1:9" x14ac:dyDescent="0.25">
      <c r="A123" s="13" t="s">
        <v>318</v>
      </c>
      <c r="B123" s="23" t="s">
        <v>316</v>
      </c>
      <c r="C123" s="10" t="s">
        <v>317</v>
      </c>
      <c r="D123" s="8">
        <v>1</v>
      </c>
      <c r="E123" s="8">
        <v>93.8</v>
      </c>
      <c r="F123" s="6">
        <f>D123*E123</f>
        <v>93.8</v>
      </c>
      <c r="H123" s="1" t="s">
        <v>315</v>
      </c>
      <c r="I123" s="1" t="s">
        <v>314</v>
      </c>
    </row>
    <row r="124" spans="1:9" x14ac:dyDescent="0.25">
      <c r="A124" s="13"/>
      <c r="B124" s="23"/>
      <c r="C124" s="10"/>
      <c r="D124" s="8"/>
      <c r="E124" s="8"/>
      <c r="F124" s="6">
        <f>D124*E124</f>
        <v>0</v>
      </c>
      <c r="H124" s="10"/>
    </row>
    <row r="125" spans="1:9" x14ac:dyDescent="0.25">
      <c r="A125" s="13"/>
      <c r="B125" s="23"/>
      <c r="C125" s="10"/>
      <c r="D125" s="8"/>
      <c r="E125" s="8"/>
      <c r="F125" s="6">
        <f t="shared" si="6"/>
        <v>0</v>
      </c>
      <c r="H125" s="10"/>
    </row>
    <row r="126" spans="1:9" x14ac:dyDescent="0.25">
      <c r="A126" s="13"/>
      <c r="B126" s="23"/>
      <c r="C126" s="10"/>
      <c r="D126" s="8"/>
      <c r="E126" s="8"/>
      <c r="F126" s="6">
        <f t="shared" si="6"/>
        <v>0</v>
      </c>
      <c r="H126" s="10"/>
    </row>
    <row r="127" spans="1:9" x14ac:dyDescent="0.25">
      <c r="A127" s="29"/>
      <c r="B127" s="23"/>
      <c r="C127" s="10"/>
      <c r="D127" s="30"/>
      <c r="E127" s="30"/>
      <c r="F127" s="6">
        <f t="shared" si="6"/>
        <v>0</v>
      </c>
      <c r="H127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7" r:id="rId109" display="https://www.grainger.com/product/Compression-Lug-3-8-in-Stud-24C366" xr:uid="{969E4A0C-E52F-4A17-A6F5-A3D01F24676B}"/>
    <hyperlink ref="H118" r:id="rId110" display="https://www.digikey.com/en/products/detail/advantech-corporation/bb-mdr-40-48/7426468" xr:uid="{65E538F7-DA33-4388-B23E-404C55813446}"/>
    <hyperlink ref="H120" r:id="rId111" display="https://www.grainger.com/product/Metal-Pipe-Flange-Flange-60WJ74" xr:uid="{851EBC08-2ED2-4124-B23F-E667A9F9321B}"/>
    <hyperlink ref="H121" r:id="rId112" display="https://www.digikey.com/en/products/detail/pulse-egston/N1HLR-2700MV-KA-5V/29410171?gclid=d0e0296f6f231fb67a4543cf4f2a21d9&amp;gclsrc=3p.ds&amp;msclkid=d0e0296f6f231fb67a4543cf4f2a21d9" xr:uid="{54E9C926-24F1-4758-853F-BD129F6EBDFF}"/>
    <hyperlink ref="I123" r:id="rId113" display="https://www.supplyhouse.com/Functional-Devices-TIB100A-Transformer-96VA-120-to-24-Vac-Circuit-Breaker-DIN-Rail-Mount?msockid=277021126b6a6b6a3cca367a6a576a6d" xr:uid="{0A2C36B1-5125-4F51-8575-F092A696C03C}"/>
    <hyperlink ref="H123" r:id="rId114" display="https://www.digikey.com/en/products/detail/aim-dynamics/TIB100A/28736836?msockid=277021126b6a6b6a3cca367a6a576a6d" xr:uid="{74179639-4519-4C59-BD73-C785247C9073}"/>
  </hyperlinks>
  <pageMargins left="0.7" right="0.7" top="0.75" bottom="0.75" header="0.3" footer="0.3"/>
  <pageSetup orientation="portrait" r:id="rId115"/>
  <tableParts count="1">
    <tablePart r:id="rId1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2026-09-10T01:31:51Z</dcterms:modified>
</cp:coreProperties>
</file>