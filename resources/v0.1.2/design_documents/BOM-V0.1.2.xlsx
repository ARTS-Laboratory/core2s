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esign_documents/"/>
    </mc:Choice>
  </mc:AlternateContent>
  <xr:revisionPtr revIDLastSave="19" documentId="13_ncr:1_{823F2AAE-25ED-44E6-8A76-EF5843E5E1BF}" xr6:coauthVersionLast="47" xr6:coauthVersionMax="47" xr10:uidLastSave="{C7414D18-6417-47B6-A360-6D35DD7DCD31}"/>
  <bookViews>
    <workbookView xWindow="-108" yWindow="-108" windowWidth="23256" windowHeight="13896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1" l="1"/>
  <c r="F124" i="1"/>
  <c r="F116" i="1"/>
  <c r="F117" i="1"/>
  <c r="F125" i="1"/>
  <c r="F126" i="1"/>
  <c r="F127" i="1"/>
  <c r="F121" i="1"/>
  <c r="F115" i="1"/>
  <c r="F120" i="1"/>
  <c r="F114" i="1"/>
  <c r="F112" i="1"/>
  <c r="F109" i="1"/>
  <c r="F107" i="1"/>
  <c r="F108" i="1"/>
  <c r="F110" i="1"/>
  <c r="F111" i="1"/>
  <c r="F113" i="1"/>
  <c r="F93" i="1"/>
  <c r="F94" i="1"/>
  <c r="F95" i="1"/>
  <c r="F105" i="1"/>
  <c r="F10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6" i="1"/>
  <c r="F97" i="1"/>
  <c r="F98" i="1"/>
  <c r="F99" i="1"/>
  <c r="F100" i="1"/>
  <c r="F101" i="1"/>
  <c r="F102" i="1"/>
  <c r="F103" i="1"/>
  <c r="F2" i="1"/>
</calcChain>
</file>

<file path=xl/sharedStrings.xml><?xml version="1.0" encoding="utf-8"?>
<sst xmlns="http://schemas.openxmlformats.org/spreadsheetml/2006/main" count="470" uniqueCount="319">
  <si>
    <t>Total Cost</t>
  </si>
  <si>
    <t>Individual Cost</t>
  </si>
  <si>
    <t>Vendor 1</t>
  </si>
  <si>
    <t>Vendor 2</t>
  </si>
  <si>
    <t>Vendor 3</t>
  </si>
  <si>
    <t>Vendor 4</t>
  </si>
  <si>
    <t>Notes</t>
  </si>
  <si>
    <t>MFR Part Number</t>
  </si>
  <si>
    <t>Internal Part Name</t>
  </si>
  <si>
    <t>MFR / Vendor Description</t>
  </si>
  <si>
    <t>Wire Duct</t>
  </si>
  <si>
    <t>Hex Screw</t>
  </si>
  <si>
    <t>Hex Nut</t>
  </si>
  <si>
    <t>Duct Cover</t>
  </si>
  <si>
    <t>Threaded Flange</t>
  </si>
  <si>
    <t>Plastic Bushing</t>
  </si>
  <si>
    <t>Brass Tee</t>
  </si>
  <si>
    <t>Compression Fitting</t>
  </si>
  <si>
    <t>DIN Terminals</t>
  </si>
  <si>
    <t>Control for P-Valve</t>
  </si>
  <si>
    <t>PWM Control for P-Valve</t>
  </si>
  <si>
    <t>Controller Plug Connect.</t>
  </si>
  <si>
    <t>Proportional Valve</t>
  </si>
  <si>
    <t>Cable</t>
  </si>
  <si>
    <t>cDAQ</t>
  </si>
  <si>
    <t>Wire Stripper</t>
  </si>
  <si>
    <t>Wire Crimper</t>
  </si>
  <si>
    <t>Ferrule</t>
  </si>
  <si>
    <t>Monitor Mount</t>
  </si>
  <si>
    <t>Touch Screen Monitor</t>
  </si>
  <si>
    <t xml:space="preserve">Monitor </t>
  </si>
  <si>
    <t>Thermocouple</t>
  </si>
  <si>
    <t>NPT x MNPT</t>
  </si>
  <si>
    <t>MNPT x NPT</t>
  </si>
  <si>
    <t>NPT x NPT</t>
  </si>
  <si>
    <t>Nipple</t>
  </si>
  <si>
    <t>90 Elbow</t>
  </si>
  <si>
    <t>Tee</t>
  </si>
  <si>
    <t>Copper Hanger</t>
  </si>
  <si>
    <t>Threaded Rod</t>
  </si>
  <si>
    <t>Copper Hanger Plate</t>
  </si>
  <si>
    <t>Brass Union</t>
  </si>
  <si>
    <t>Straight Coupling</t>
  </si>
  <si>
    <t>Clear Tubing (10ft)</t>
  </si>
  <si>
    <t>Hose Clamp</t>
  </si>
  <si>
    <t>Barbed Hose Fitting</t>
  </si>
  <si>
    <t>Screws</t>
  </si>
  <si>
    <t>Hangers</t>
  </si>
  <si>
    <t>Hanger Plate</t>
  </si>
  <si>
    <t>Ball Valve</t>
  </si>
  <si>
    <t>Flowmeter</t>
  </si>
  <si>
    <t>Drop-In Anchor</t>
  </si>
  <si>
    <t>Adhesive</t>
  </si>
  <si>
    <t>Pipe Cross</t>
  </si>
  <si>
    <t>Pipe Clamp</t>
  </si>
  <si>
    <t>Channel Fitting</t>
  </si>
  <si>
    <t>Spring Nut</t>
  </si>
  <si>
    <t>Washer</t>
  </si>
  <si>
    <t>Compartment Box</t>
  </si>
  <si>
    <t>Nipple (2")</t>
  </si>
  <si>
    <t>Nipple (3")</t>
  </si>
  <si>
    <t>Flange</t>
  </si>
  <si>
    <t>304 Pipe</t>
  </si>
  <si>
    <t>Pipe Straight</t>
  </si>
  <si>
    <t>DIN Rail</t>
  </si>
  <si>
    <t>M12 4 Pin Connector</t>
  </si>
  <si>
    <t>Bushing</t>
  </si>
  <si>
    <t>Pressure Transducer</t>
  </si>
  <si>
    <t>Terminal Bridges</t>
  </si>
  <si>
    <t>Pressure Transducer Wire</t>
  </si>
  <si>
    <t>P-Valve Controller</t>
  </si>
  <si>
    <t>Flanged Sleeve Bearings</t>
  </si>
  <si>
    <t>53UJ14</t>
  </si>
  <si>
    <t>53UH83</t>
  </si>
  <si>
    <t>4WPV1</t>
  </si>
  <si>
    <t>1MKC2</t>
  </si>
  <si>
    <t>13Y864</t>
  </si>
  <si>
    <t>20YY84</t>
  </si>
  <si>
    <t>N/A</t>
  </si>
  <si>
    <t>135-76402TS0081000-DS-ND</t>
  </si>
  <si>
    <t>N/A`</t>
  </si>
  <si>
    <t>K604-ND</t>
  </si>
  <si>
    <t>1742-34055-ND</t>
  </si>
  <si>
    <t>288-1001-ND</t>
  </si>
  <si>
    <t>BOUMMLW20B</t>
  </si>
  <si>
    <t>3AAA2</t>
  </si>
  <si>
    <t>5ZY28</t>
  </si>
  <si>
    <t>13Y764</t>
  </si>
  <si>
    <t>13Y763</t>
  </si>
  <si>
    <t>4DRC4</t>
  </si>
  <si>
    <t>1VGU6</t>
  </si>
  <si>
    <t>1VGU2</t>
  </si>
  <si>
    <t>1VER9</t>
  </si>
  <si>
    <t>2CFF9</t>
  </si>
  <si>
    <t>1VEZ5</t>
  </si>
  <si>
    <t>6RCZ8</t>
  </si>
  <si>
    <t>1VGR6</t>
  </si>
  <si>
    <t>22FP62</t>
  </si>
  <si>
    <t>22FP63</t>
  </si>
  <si>
    <t>1WB27</t>
  </si>
  <si>
    <t>4RDG3</t>
  </si>
  <si>
    <t>22FP85</t>
  </si>
  <si>
    <t>6RDA5</t>
  </si>
  <si>
    <t>6RCY9</t>
  </si>
  <si>
    <t>796K77</t>
  </si>
  <si>
    <t>1XGY9</t>
  </si>
  <si>
    <t>55EU91</t>
  </si>
  <si>
    <t>6AFN6</t>
  </si>
  <si>
    <t>3KUK5</t>
  </si>
  <si>
    <t>22FP59</t>
  </si>
  <si>
    <t>31JG65</t>
  </si>
  <si>
    <t>31JG35</t>
  </si>
  <si>
    <t>1RUZ1</t>
  </si>
  <si>
    <t>48XH63</t>
  </si>
  <si>
    <t>1VGT7</t>
  </si>
  <si>
    <t>4UEG9</t>
  </si>
  <si>
    <t>10W669</t>
  </si>
  <si>
    <t>40TW73</t>
  </si>
  <si>
    <t>30PK27</t>
  </si>
  <si>
    <t>854J80</t>
  </si>
  <si>
    <t>39F868</t>
  </si>
  <si>
    <t>4AUW6</t>
  </si>
  <si>
    <t>22FP84</t>
  </si>
  <si>
    <t>6AFL8</t>
  </si>
  <si>
    <t>60WH38</t>
  </si>
  <si>
    <t>13Y906</t>
  </si>
  <si>
    <t>6AFP2</t>
  </si>
  <si>
    <t>1RVC2</t>
  </si>
  <si>
    <t>1RVC1</t>
  </si>
  <si>
    <t>793VU2</t>
  </si>
  <si>
    <t>31JG34</t>
  </si>
  <si>
    <t>5YE11</t>
  </si>
  <si>
    <t>22UG07</t>
  </si>
  <si>
    <t>3AUW4</t>
  </si>
  <si>
    <t>30F070</t>
  </si>
  <si>
    <t>31JG71</t>
  </si>
  <si>
    <t>10W663</t>
  </si>
  <si>
    <t>6MX55</t>
  </si>
  <si>
    <t>6MX66</t>
  </si>
  <si>
    <t>30WH23</t>
  </si>
  <si>
    <t>782G46</t>
  </si>
  <si>
    <t>1RTU2</t>
  </si>
  <si>
    <t>18Z758</t>
  </si>
  <si>
    <t>793MY3</t>
  </si>
  <si>
    <t>5P553</t>
  </si>
  <si>
    <t>46M483</t>
  </si>
  <si>
    <t>1VFX8</t>
  </si>
  <si>
    <t>PX159A-060G5V</t>
  </si>
  <si>
    <t>41UH04</t>
  </si>
  <si>
    <t>FBS10-5</t>
  </si>
  <si>
    <t>FBI 10-6</t>
  </si>
  <si>
    <t>22UL43</t>
  </si>
  <si>
    <t>20XM58</t>
  </si>
  <si>
    <t>2NCK6</t>
  </si>
  <si>
    <t>Quantity</t>
  </si>
  <si>
    <t>https://www.mscdirect.com/product/details/92012988?rItem=92012988</t>
  </si>
  <si>
    <t>Value Collection - Hex Head Cap Screw: 5/8-11, 3" Length Under Head, Grade 2 Steel, Zinc Finish | MSC Direct</t>
  </si>
  <si>
    <t>Value Collection - Hex Nut: 5/8-11, Grade 2 Steel, Bright/Uncoated Finish | MSC Direct</t>
  </si>
  <si>
    <t>1.50" x 0.75" x 6' White Lead-Free PVC Panduct® Narrow Slot Wiring Duct | Fastenal</t>
  </si>
  <si>
    <t>1 1/2 in Nom Wd, 1.3 in Slot Ht, Wiring Duct - 53UJ14|TYD15X2NPG6 - Grainger</t>
  </si>
  <si>
    <t>PVC, 72 in Lg, Wiring Duct Cover - 53UH83|TYD15CPG6 - Grainger</t>
  </si>
  <si>
    <t>Flange, 304 Stainless Steel, Metal Pipe Flange - 4WPV1|4381001040 - Grainger</t>
  </si>
  <si>
    <t>Bushing, 1 1/2 in x 3/4 in Fitting Pipe Size, Pipe Straight - 1MKC2|RB150-075 - Grainger</t>
  </si>
  <si>
    <t>PARKER, Tee, 3/4 in x 3/4 in x 3/4 in, Metal Pipe Tee - 13Y864|VS2225P-12 - Grainger</t>
  </si>
  <si>
    <t>PARKER, 1/2 in OD x 3/4 in pipe Size, Compression x MNPT, Compression Fitting Adapter - 20YY84|8MSC12N-B - Grainger</t>
  </si>
  <si>
    <t>Dig. control electroncis for prop.valves</t>
  </si>
  <si>
    <t>Type 8605 - PWM control electronics for electromagnetic proportional valves</t>
  </si>
  <si>
    <t>Plug connection form A</t>
  </si>
  <si>
    <t>2/2-way-proportional valve</t>
  </si>
  <si>
    <t>76402TS 0081000 Belden Inc. | Multiple Conductor Cables | DigiKey</t>
  </si>
  <si>
    <t>JIC-2030 Jonard Tools | Wire Strippers and Accessories | DigiKey</t>
  </si>
  <si>
    <t>34055 Klein Tools, Inc. | Crimpers, Applicators, Presses | DigiKey</t>
  </si>
  <si>
    <t>1161014 American Electrical Inc. | Terminal Block Wire Ferrules | DigiKey</t>
  </si>
  <si>
    <t>Bosch UMM-LW-20B Monitor Wall Mount (Fixed) UMM-LW-20B B&amp;H Photo</t>
  </si>
  <si>
    <t>Dell P2424HT - LED monitor - 24" (23.8" viewable) - touchscreen - 1920 x 1080 Full HD (1080p) @ 60 Hz - IPS - 300 cd/m² - DELL-P2424HT - Computer Monitors - CDWG.com</t>
  </si>
  <si>
    <t>Dell Pro E2425HM - LED monitor - Full HD (1080p) - 24" - DELL-E2425HM - Computer Monitors - CDWG.com</t>
  </si>
  <si>
    <t>TEMPCO, 32°F to 2,300°F /0°C to 1,260°C, Type K, Thermocouple Probe - 3AAA2|TTW00180 - Grainger</t>
  </si>
  <si>
    <t>TEMPCO, Compression Fitting, Compression Fitting - 5ZY28|FTGR-1019 - Grainger</t>
  </si>
  <si>
    <t>PARKER, Straight, 1/2 in x 1 in, Metal Pipe Straight - 13Y764|VS209P-16-8 - Grainger</t>
  </si>
  <si>
    <t>PARKER, Straight, 1 in x 3/4 in, Metal Pipe Straight - 13Y763|VS209P-16-12 - Grainger</t>
  </si>
  <si>
    <t>Brass, 3/4 in Nominal Pipe Size, Pipe Nipple - 4DRC4|464-001X - Grainger</t>
  </si>
  <si>
    <t>Brass, 3/4 in Nominal Pipe Size, Pipe Nipple - 1VGU6|464-040 - Grainger</t>
  </si>
  <si>
    <t>Brass, 3/4 in Nominal Pipe Size, Pipe Nipple - 1VGU2|464-030 - Grainger</t>
  </si>
  <si>
    <t>90° Elbow, 3/4 in x 3/4 in, Metal Pipe Elbow - 1VER9|1VER9 - Grainger</t>
  </si>
  <si>
    <t>90° Elbow, 3/4 in x 1/2 in, Metal Pipe Elbow - 2CFF9|2CFF9 - Grainger</t>
  </si>
  <si>
    <t>Tee, 3/4 in x 3/4 in x 3/4 in, Metal Pipe Tee - 1VEZ5|1VEZ5 - Grainger</t>
  </si>
  <si>
    <t>Tee, 1/2 in x 1/2 in x 1/2 in, Metal Pipe Tee - 6RCZ8|6RCZ8 - Grainger</t>
  </si>
  <si>
    <t>Brass, 1/2 in Nominal Pipe Size, Pipe Nipple - 1VGR6|463-040 - Grainger</t>
  </si>
  <si>
    <t>Swivel Loop, Copper-Plated Iron, Split-Ring Hanger - 22FP62|22FP62 - Grainger</t>
  </si>
  <si>
    <t>Swivel Loop, Copper-Plated Iron, Split-Ring Hanger - 22FP63|22FP63 - Grainger</t>
  </si>
  <si>
    <t>Std Hex, 3/8"-16 Thread, Hex Nut - 1WB27|U51080.037.0001 - Grainger</t>
  </si>
  <si>
    <t>https://www.grainger.com/product/4RDG3?RIID=51819294775&amp;GID=729415832&amp;mid=OrderConfirmation_REST&amp;rfe=be60c264cb8af064766c979f26eae4bb472251d98b9b8ab10d9b00772ba5c4ca&amp;gucid=EMT:11126144:Item:CSM-323&amp;emcid=NA:Item</t>
  </si>
  <si>
    <t>Copper-Plated Iron, For 3/8 in Threaded Rod, Rod Hanger Plate - 22FP85|22FP85 - Grainger</t>
  </si>
  <si>
    <t>Union, 1/2 in x 1/2 in, Metal Pipe Straight - 6RDA5|6RDA5 - Grainger</t>
  </si>
  <si>
    <t>Straight, 3/4 in x 1/2 in, Metal Pipe Straight - 6RCY9|6RCY9 - Grainger</t>
  </si>
  <si>
    <t>Clearbraid, PVC, Tubing - 796K77|K3150-12X10 - Grainger</t>
  </si>
  <si>
    <t>201 Stainless Steel, Lined Band, Worm Gear Hose Clamp - 1XGY9|5316 - Grainger</t>
  </si>
  <si>
    <t>DIXON VALVE &amp; COUPLING, For 3/4 in Hose I.D., Hose Barb x NPTF, Barbed Hose Fitting - 55EU91|1341212C - Grainger</t>
  </si>
  <si>
    <t>For 3/4 in Hose I.D., Hose Barb x NPT, Barbed Hose Fitting - 6AFN6|6AFN6 - Grainger</t>
  </si>
  <si>
    <t>#10 Size, 5/8 in Lg, Cabinet Screw - 3KUK5|KK.MET.SCR.100 - Grainger</t>
  </si>
  <si>
    <t>Swivel Loop, Electro-Galvanized Iron, Split-Ring Hanger - 22FP59|22FP59 - Grainger</t>
  </si>
  <si>
    <t>#8 Size, 1 in Lg, Wood Screw - 31JG65|U51876.016.0100 - Grainger</t>
  </si>
  <si>
    <t>#8 Size, 1 in Lg, Wood Screw - 31JG35|U51866.016.0100 - Grainger</t>
  </si>
  <si>
    <t>Electrogalvanized Cast Iron, For 3/8 in Threaded Rod, Rod Hanger Plate - 1RUZ1|365M0037EG - Grainger</t>
  </si>
  <si>
    <t>APOLLO, 3/4 in, Bronze, Manual Two-Way Ball Valve - 48XH63|77C10401A - Grainger</t>
  </si>
  <si>
    <t>Omega Flow Transmitter FLR6302D | eBay</t>
  </si>
  <si>
    <t>Brass, 3/4 in Nominal Pipe Size, Pipe Nipple - 1VGT7|464-020 - Grainger</t>
  </si>
  <si>
    <t>Electrogalvanized Cast Iron, For 1/2 in Threaded Rod, Plate - 4UEG9|365M0050EG - Grainger</t>
  </si>
  <si>
    <t>1/2"-13 Thread Size, 2 ft Lg, Fully Threaded Rod - 10W669|U51070.050.2400 - Grainger</t>
  </si>
  <si>
    <t>Std Hex, 1/2"-13 Thread, Hex Nut - 40TW73|U51080.050.0001 - Grainger</t>
  </si>
  <si>
    <t>MKT FASTENING, 1/2"-13 Thread Size, 2 in Overall Lg, Drop-In Anchor - 30PK27|1312SS6 - Grainger</t>
  </si>
  <si>
    <t>1/2"-13 Thread Size, 3/4 in Lg, Machine Screw - 854J80|1-sfm-50c-75 - Grainger</t>
  </si>
  <si>
    <t>J-B WELD, ClearWeld, Ambient Cured, Epoxy Adhesive - 39F868|50112 - Grainger</t>
  </si>
  <si>
    <t>PC PRODUCTS, PC-SuperEpoxy, Ambient Cured, Epoxy Adhesive - 4AUW6|016619 - Grainger</t>
  </si>
  <si>
    <t>Iron, For 3/8 in Threaded Rod, Rod Hanger Plate - 22FP84|22FP84 - Grainger</t>
  </si>
  <si>
    <t>For 3/4 in Hose I.D., Hose Barb x NPT, Barbed Hose Fitting - 6AFL8|6AFL8 - Grainger</t>
  </si>
  <si>
    <t>PARKER, Tee, 3/4 in x 3/4 in x 3/4 in, Metal Pipe Tee - 60WH38|2225P-12 - Grainger</t>
  </si>
  <si>
    <t>PARKER, Cross, 3/4 in x 3/4 in x 3/4 in x 3/4 in, Metal Pipe Cross - 13Y906|2205P-12 - Grainger</t>
  </si>
  <si>
    <t>For 3/4 in Hose I.D., Hose Barb x NPT, Barbed Hose Fitting - 6AFP2|6AFP2 - Grainger</t>
  </si>
  <si>
    <t>Swivel Loop, Electro-Galvanized Steel, Pipe Clamp - 1RVC2|454005 - Grainger</t>
  </si>
  <si>
    <t>Swivel Loop, Electro-Galvanized Steel, Pipe Clamp - 1RVC1|454004 - Grainger</t>
  </si>
  <si>
    <t>Silver, Electro Galvanized, Strut Channel Fitting - 793VU2|V717EG - Grainger</t>
  </si>
  <si>
    <t>#8 Size, 3/4 in Lg, Wood Screw - 31JG34|U51866.016.0075 - Grainger</t>
  </si>
  <si>
    <t>3/8"-16 Thread Size, 3/8 in Bolt Size, Spring Nut - 5YE11|V200 3/8 - Grainger</t>
  </si>
  <si>
    <t>18-8, Stainless Steel, Flat Washer - 22UG07|U51410.037.0001 - Grainger</t>
  </si>
  <si>
    <t>Stainless Steel, A2, Hex Head Cap Screw - 3AUW4|U51000.037.0100 - Grainger</t>
  </si>
  <si>
    <t>PLANO MOLDING, 11 in x 7 1/4 in x 1 3/4 in, Clear, Compartment Box - 30F070|2-3600-01 - Grainger</t>
  </si>
  <si>
    <t>#10 Size, 1 in Lg, Wood Screw - 31JG71|U51876.019.0100 - Grainger</t>
  </si>
  <si>
    <t>3/8"-16 Thread Size, 2 ft Lg, Fully Threaded Rod - 10W663|U51070.037.2400 - Grainger</t>
  </si>
  <si>
    <t>Schedule 80, CPVC, Pipe Nipple - 6MX55|9861-020 - Grainger</t>
  </si>
  <si>
    <t>Schedule 80, CPVC, Pipe Nipple - 6MX66|9861-106 - Grainger</t>
  </si>
  <si>
    <t>1 1/2 in, Carbon Steel, Metal Pipe Flange - 30WH23|151-012-000 - Grainger</t>
  </si>
  <si>
    <t>304 Stainless Steel, Schedule 40, Pipe - 782G46|T4PPH06WD - Grainger</t>
  </si>
  <si>
    <t>1 1/2 in x 1 1/2 in, Butt Weld x Butt Weld, Metal Pipe Straight - 1RTU2|4381023840 - Grainger</t>
  </si>
  <si>
    <t>DIN Rail Mounting, Aluminum, Mounting Track - 18Z758|18Z758 - Grainger</t>
  </si>
  <si>
    <t>3/4 in Nominal Pipe Size, Male NPT, Pipe Nipple - 793MY3|793MY3 - Grainger</t>
  </si>
  <si>
    <t>3/4 in x 3/4 in, Threaded x Threaded, Metal Pipe Straight - 5P553|5P553 - Grainger</t>
  </si>
  <si>
    <t>M12 Female Straight 4 Pin Connector Aviation Electrical Socket Cable 2M / 5' | eBay</t>
  </si>
  <si>
    <t>Straight, 1/2 in x 1/4 in, Metal Pipe Straight - 46M483|706110-0804 - Grainger</t>
  </si>
  <si>
    <t>Straight, 3/4 in x 1/4 in, Metal Pipe Straight - 1VFX8|1VFX8 - Grainger</t>
  </si>
  <si>
    <t>OEM Style, Compact Pressure Transmitters with Mini DIN</t>
  </si>
  <si>
    <t>Stainless Steel, A2, Hex Tap Bolt - 41UH04|U51010.050.0300 - Grainger</t>
  </si>
  <si>
    <t>https://www.burkert.com/en/products/proportional-valves/controllers/316529</t>
  </si>
  <si>
    <t>https://www.grainger.com/product/22UL43?RIID=51819294775&amp;GID=729415832&amp;mid=OrderConfirmation_REST&amp;rfe=5fbed57f928e0d20c3753de78a2b9a38ffd20234e126526a2f6d6b4fe4e772db&amp;gucid=EMT:11126144:Item:CSM-323&amp;emcid=NA:Item</t>
  </si>
  <si>
    <t>1/2 in OD x 3/4 in Pipe Fitting Size, Brass, Compression Fitting Coupling - 20XM58|700068-0812 - Grainger</t>
  </si>
  <si>
    <t>https://www.grainger.com/product/4WPV1?RIID=51819294775&amp;GID=729415832&amp;mid=OrderConfirmation_REST&amp;rfe=5fbed57f928e0d20c3753de78a2b9a38ffd20234e126526a2f6d6b4fe4e772db&amp;gucid=EMT:11126144:Item:CSM-323&amp;emcid=NA:Item</t>
  </si>
  <si>
    <t>IGUS, Polymer, 1/2 in Bore, Flanged Sleeve Bearing - 2NCK6|RFI-0810-10 - Grainger</t>
  </si>
  <si>
    <t>Thomas &amp; Betts - 2 X 2 X 72 IN GRAY WIDE SLOT WIRING DUCT | MSC Direct</t>
  </si>
  <si>
    <t>Fully Threaded Rod: 3/8"-16 Thread Size, 3 ft Lg, Stainless Steel, 18-8, Plain - Grainger</t>
  </si>
  <si>
    <t>Dig. control electroncis for prop.valves - Burkert Type 8605 / Article 316529</t>
  </si>
  <si>
    <t>Straight, 1 1/2 in x 3/4 in, Metal Pipe Straight - 22UL43 | Grainger</t>
  </si>
  <si>
    <t>Flange, 304 Stainless Steel, Metal Pipe Flange - 4WPV1 | Grainger</t>
  </si>
  <si>
    <t>Std Hex, 1/2"-13 Thread, Hex Nut - 2FE69|U08110.050.0001 - Grainger</t>
  </si>
  <si>
    <t>2FE69</t>
  </si>
  <si>
    <t>Hex Nut: Std Hex, 1/2"-13 Thread, 3/4 in Hex Wd, 7/16 in Hex Ht, Steel, Grade 2, Zinc-Plated, 50 PK</t>
  </si>
  <si>
    <t>18-8, Stainless Steel, Mil. Spec. Flat Washer - 2DNV3|NAS1149-C0863R - Grainger</t>
  </si>
  <si>
    <t>Mil. Spec. Flat Washer: 18-8, Stainless Steel, 1/2 in Screw Sz, 0.515 in In Dia, 18-8, 25 PK</t>
  </si>
  <si>
    <t>2DNV3</t>
  </si>
  <si>
    <t>Nuts for heater rod insulated connection</t>
  </si>
  <si>
    <t>Washers for heater rod insulated connection</t>
  </si>
  <si>
    <t>Bolts for heater rod insulated connection</t>
  </si>
  <si>
    <t>https://www.grainger.com/product/Hex-Head-Cap-Screw-Steel-23KZ77</t>
  </si>
  <si>
    <t>23KZ77</t>
  </si>
  <si>
    <t>Hex Head Cap Screw: Steel, Grade 5, Zinc Plated, 1/2"-13, Coarse, 3 in lg, Globally Sourced, 10 PK</t>
  </si>
  <si>
    <t>USB hub</t>
  </si>
  <si>
    <t>Eaton Tripp Lite Series 4-Port Industrial-Grade USB 3.x (5Gbps) Hub - 20 kV ESD Immunity, Metal Housing, Mountable</t>
  </si>
  <si>
    <t xml:space="preserve"> U360-004-IND</t>
  </si>
  <si>
    <t>https://www.cdwg.com/product/tripp-lite-4-port-industrial-usb-3.0-superspeed-hub-15kv-esd-immunity-metal/3682489?pfm=srh</t>
  </si>
  <si>
    <t>15ft usb cable hub to PC</t>
  </si>
  <si>
    <t>15ft usb cable dcaq to hub</t>
  </si>
  <si>
    <t>https://www.cdwg.com/product/belkin-16ft-4.8m-usb-2.0-a-b-device-cable-printer-cable/1109346</t>
  </si>
  <si>
    <t>https://www.cdwg.com/product/eaton-tripp-lite-series-usb-3.2-gen-1-superspeed-device-cable-a-to-b-m-m/3386201</t>
  </si>
  <si>
    <t>Belkin USB-A to USB Type B Cable - M/M - 480 Mbps - 16ft - Device Extension Cable</t>
  </si>
  <si>
    <t>Eaton Tripp Lite Series USB 3.2 Gen 1 SuperSpeed Device Cable (A to B M/M) Black, 15 ft. (4.57 m) - USB cable - USB Type</t>
  </si>
  <si>
    <t>U322-015-BK</t>
  </si>
  <si>
    <t>F3U133B16</t>
  </si>
  <si>
    <t>BANJO Inline Strainer: Polypropylene, 3/4 in, NPT, Mesh, 0.007 in Screen Size, 4 1/4 in Ht, 3 in Lg</t>
  </si>
  <si>
    <t>3ELX2</t>
  </si>
  <si>
    <t>BANJO, Polypropylene, 3/4 in, Inline Strainer - 3ELX2|LSTM075-80C - Grainger</t>
  </si>
  <si>
    <t>BELL &amp; GOSSETT, NPT x NPT, 3/4 in Pipe Size, Water Pressure Reducing Valve - 6LFA3|110196LF - Grainger</t>
  </si>
  <si>
    <t>6LFA3</t>
  </si>
  <si>
    <t>BELL &amp; GOSSETT Water Pressure Reducing Valve: NPT x NPT, 3/4 in Pipe Size, Brass, 10 psi to 25 psi</t>
  </si>
  <si>
    <t>APOLLO Relief Valve: FNPT x FNPT, 3/4 in x 3/4 in, Bronze, 94 psi Max. Op Pressure</t>
  </si>
  <si>
    <t>804Z55</t>
  </si>
  <si>
    <t>https://www.grainger.com/product/APOLLO-Relief-Valve-FNPT-x-FNPT-804Z55</t>
  </si>
  <si>
    <t>360 Brass Rod: 3/8 in Outside Dia, 12 in Overall Lg, H02, Mill, 45,000 psi Yield Strength, Inch</t>
  </si>
  <si>
    <t>BR360/375-12</t>
  </si>
  <si>
    <t>3/8 in Outside Dia, 12 in Overall Lg, 360 Brass Rod - 803H45|BR360/375-12 - Grainger</t>
  </si>
  <si>
    <t>WEATHERHEAD Compression Fitting Union: 3/8 in OD x 3/8 in OD Fitting Size, Compression x Compression</t>
  </si>
  <si>
    <t>62X6</t>
  </si>
  <si>
    <t>WEATHERHEAD, 3/8 in OD x 3/8 in OD Fitting Size, Compression x Compression, Compression Fitting Union - 20KF99|62X6 - Grainger</t>
  </si>
  <si>
    <t xml:space="preserve">Nichrome Rod </t>
  </si>
  <si>
    <t xml:space="preserve">Pressure Relief Valve </t>
  </si>
  <si>
    <t>Pressure Reducer Valve</t>
  </si>
  <si>
    <t xml:space="preserve">Water Filter </t>
  </si>
  <si>
    <t>3/8 in OD x 3/4 in Pipe Fitting Size, Brass, Compression Fitting Coupling - 20XM55|700068-0612 - Grainger</t>
  </si>
  <si>
    <t>APPROVED VENDOR Compression Fitting Coupling: 3/8 in OD x 3/4 in Pipe Fitting Size, Brass</t>
  </si>
  <si>
    <t>20XM55</t>
  </si>
  <si>
    <t>NiChrome Rod joining Compression Fitting</t>
  </si>
  <si>
    <t>BB-MDR-40-48 Advantech Corporation | Industrial, DIN Rail Power Supplies | DigiKey</t>
  </si>
  <si>
    <t>MeanWell 48V Power Supply</t>
  </si>
  <si>
    <t>MDR-40-48 100-240VAC</t>
  </si>
  <si>
    <t>Flange, 304/304L Stainless Steel, Metal Pipe Flange - 60WJ74|4381000040 - Grainger</t>
  </si>
  <si>
    <t>Flange  Blind ("plug")</t>
  </si>
  <si>
    <t>Metal Pipe Flange: Flange, 304/304L Stainless Steel, 1 1/2 in Pipe Size, Class 150, Raised, 285 psi</t>
  </si>
  <si>
    <t>500A Current Sensor</t>
  </si>
  <si>
    <t>N1HLR-2700MV/KA-5V PULSE Egston | Current Sensors | DigiKey</t>
  </si>
  <si>
    <t>CURRENT SENS ROGOWSKI INTEGR 5V</t>
  </si>
  <si>
    <t>6385-N1HLR-2700MV/KA-5V-ND</t>
  </si>
  <si>
    <t>60WJ74</t>
  </si>
  <si>
    <t>TIB100A - Functional Devices TIB100A - Transformer 96VA, 120 to 24 Vac, Circuit Breaker, DIN Rail Mount</t>
  </si>
  <si>
    <t>TIB100A Functional Devices | Industrial, DIN Rail Power Supplies | DigiKey Marketplace</t>
  </si>
  <si>
    <t>120-24VAC 96VA CIRCUIT BREAKER</t>
  </si>
  <si>
    <t>2272-TIB100A-ND</t>
  </si>
  <si>
    <t>24V AC PSU</t>
  </si>
  <si>
    <t>BEING RETURNED</t>
  </si>
  <si>
    <t>Honeywell Current Sensor</t>
  </si>
  <si>
    <t>Honeywell CSNS300M-500 Closed Loop Sensor AC/DC Current +/- 18V, CSNS Series</t>
  </si>
  <si>
    <t>Honeywell CSNS300M-500 Closed Loop Sensor AC/DC Current +/-18V, CSNS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</si>
</sst>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9333B"/>
      <name val="Aptos Narrow"/>
      <family val="2"/>
      <scheme val="minor"/>
    </font>
    <font>
      <sz val="11"/>
      <color rgb="FF6B7280"/>
      <name val="Aptos Narrow"/>
      <family val="2"/>
      <scheme val="minor"/>
    </font>
    <font>
      <sz val="11"/>
      <color rgb="FF1C1B1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E6A71"/>
      <name val="Aptos Narrow"/>
      <family val="2"/>
      <scheme val="minor"/>
    </font>
    <font>
      <sz val="11"/>
      <color rgb="FF3A414B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1" fillId="2" borderId="2" xfId="1" applyFill="1" applyBorder="1" applyAlignment="1">
      <alignment horizontal="left"/>
    </xf>
    <xf numFmtId="0" fontId="1" fillId="0" borderId="2" xfId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" fillId="0" borderId="2" xfId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0" xfId="0" applyFont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1" applyFill="1"/>
    <xf numFmtId="0" fontId="1" fillId="0" borderId="0" xfId="1" applyFill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horizontal="center" vertical="top"/>
    </xf>
    <xf numFmtId="164" fontId="11" fillId="0" borderId="0" xfId="0" applyNumberFormat="1" applyFont="1" applyAlignment="1">
      <alignment vertical="top"/>
    </xf>
    <xf numFmtId="0" fontId="12" fillId="0" borderId="0" xfId="1" applyFont="1" applyFill="1" applyAlignment="1">
      <alignment vertical="top"/>
    </xf>
    <xf numFmtId="0" fontId="0" fillId="0" borderId="1" xfId="0" applyBorder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0" xfId="0" applyNumberFormat="1" applyAlignment="1">
      <alignment vertical="top"/>
    </xf>
    <xf numFmtId="0" fontId="1" fillId="0" borderId="0" xfId="1" applyFill="1" applyAlignment="1">
      <alignment vertical="top"/>
    </xf>
    <xf numFmtId="0" fontId="14" fillId="0" borderId="0" xfId="0" applyFont="1"/>
    <xf numFmtId="0" fontId="1" fillId="0" borderId="0" xfId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0" xfId="0" applyNumberFormat="1" applyFill="1" applyAlignment="1">
      <alignment vertical="center"/>
    </xf>
    <xf numFmtId="0" fontId="0" fillId="3" borderId="0" xfId="0" applyFill="1"/>
    <xf numFmtId="0" fontId="1" fillId="3" borderId="0" xfId="1" applyFill="1"/>
  </cellXfs>
  <cellStyles count="2">
    <cellStyle name="Hyperlink" xfId="1" builtinId="8"/>
    <cellStyle name="Normal" xfId="0" builtinId="0"/>
  </cellStyles>
  <dxfs count="8">
    <dxf>
      <alignment horizontal="left" vertical="bottom" textRotation="0" wrapText="0" indent="0" justifyLastLine="0" shrinkToFit="0" readingOrder="0"/>
    </dxf>
    <dxf>
      <numFmt numFmtId="164" formatCode="&quot;$&quot;#,##0.00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99790-742C-414B-AF83-048E0365A8B5}" name="Table1" displayName="Table1" ref="A1:K127" totalsRowShown="0" tableBorderDxfId="7">
  <autoFilter ref="A1:K127" xr:uid="{3AC99790-742C-414B-AF83-048E0365A8B5}"/>
  <tableColumns count="11">
    <tableColumn id="1" xr3:uid="{7B25C464-EB0A-4B56-94DE-96F6AA8DEAC1}" name="Internal Part Name" dataDxfId="6"/>
    <tableColumn id="2" xr3:uid="{DF8C1AF7-50DF-4DF9-864F-041981FCACF8}" name="MFR / Vendor Description" dataDxfId="5"/>
    <tableColumn id="3" xr3:uid="{352F414F-9DAD-4EB9-9018-5EFFD7851FC0}" name="MFR Part Number" dataDxfId="4"/>
    <tableColumn id="4" xr3:uid="{524EB195-1154-4033-90BB-70DCBC8C6954}" name="Quantity" dataDxfId="3"/>
    <tableColumn id="5" xr3:uid="{16A43733-D0E2-469A-A9F1-7003745CBA03}" name="Individual Cost" dataDxfId="2"/>
    <tableColumn id="6" xr3:uid="{5E3D3D1D-3CF3-463A-8FD2-F7FCD175AFB0}" name="Total Cost" dataDxfId="1">
      <calculatedColumnFormula>D2*E2</calculatedColumnFormula>
    </tableColumn>
    <tableColumn id="7" xr3:uid="{75C60F91-0AB9-4643-82F8-4FD09187BCAB}" name="Notes"/>
    <tableColumn id="8" xr3:uid="{B2E8A010-1D06-4803-ADB8-641F00C3F533}" name="Vendor 1" dataDxfId="0"/>
    <tableColumn id="9" xr3:uid="{C1A08220-EBF0-49C3-9563-C3B6645758E0}" name="Vendor 2"/>
    <tableColumn id="10" xr3:uid="{D3EFF0C9-98BD-4B48-90E8-5030DBC5DB99}" name="Vendor 3"/>
    <tableColumn id="11" xr3:uid="{A06B68DA-A2F6-4D77-9FA7-22F7C10A75D6}" name="Vendor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rainger.com/product/13Y763?RIID=51819294775&amp;GID=729415832&amp;mid=OrderConfirmation_REST&amp;rfe=be60c264cb8af064766c979f26eae4bb472251d98b9b8ab10d9b00772ba5c4ca&amp;gucid=EMT:11126144:Item:CSM-323&amp;emcid=NA:Item" TargetMode="External"/><Relationship Id="rId21" Type="http://schemas.openxmlformats.org/officeDocument/2006/relationships/hyperlink" Target="https://www.cdwg.com/product/dell-pro-e2425hm-led-monitor-full-hd-1080p-24/8323512?enkwrd=8323512" TargetMode="External"/><Relationship Id="rId42" Type="http://schemas.openxmlformats.org/officeDocument/2006/relationships/hyperlink" Target="https://www.grainger.com/product/796K77?RIID=51819294775&amp;GID=729415832&amp;mid=ShipConfirmation_REST&amp;rfe=f4552f2692caa603b91b9a50ab8ce941f1aa011dbe78b4501c3d4e8d9b0476ef&amp;gucid=EMT:11127411:Item:CSM-329&amp;emcid=NA:Item-LC_Test" TargetMode="External"/><Relationship Id="rId47" Type="http://schemas.openxmlformats.org/officeDocument/2006/relationships/hyperlink" Target="https://www.grainger.com/product/22FP59?RIID=51819294775&amp;GID=729415832&amp;mid=ShipConfirmation_REST&amp;rfe=f4552f2692caa603b91b9a50ab8ce941f1aa011dbe78b4501c3d4e8d9b0476ef&amp;gucid=EMT:11127411:Item:CSM-329&amp;emcid=NA:Item-LC_Test" TargetMode="External"/><Relationship Id="rId63" Type="http://schemas.openxmlformats.org/officeDocument/2006/relationships/hyperlink" Target="https://www.grainger.com/product/60WH38?RIID=51819294775&amp;GID=729415832&amp;mid=OrderConfirmation_REST&amp;rfe=e26a9d15005b14a2115fa5cf04e2db1f77908f435ad573cd00d2c46a5d28a1da&amp;gucid=EMT:11126144:Item:CSM-323&amp;emcid=NA:Item" TargetMode="External"/><Relationship Id="rId68" Type="http://schemas.openxmlformats.org/officeDocument/2006/relationships/hyperlink" Target="https://www.grainger.com/product/793VU2?RIID=51819294775&amp;GID=729415832&amp;mid=OrderConfirmation_REST&amp;rfe=339eda075223b1db0bdb6be138010ac778453f7afa08f51021b907c8267622ac&amp;gucid=EMT:11126144:Item:CSM-323&amp;emcid=NA:Item" TargetMode="External"/><Relationship Id="rId84" Type="http://schemas.openxmlformats.org/officeDocument/2006/relationships/hyperlink" Target="https://www.ebay.com/itm/156665159304?mkevt=1&amp;mkpid=0&amp;emsid=e11401.m144671.l197929&amp;mkcid=7&amp;ch=osgood&amp;euid=a26e1d74063a472780504955de39c54a&amp;bu=45863828724&amp;osub=-1~1&amp;crd=20260413064227&amp;segname=11401" TargetMode="External"/><Relationship Id="rId89" Type="http://schemas.openxmlformats.org/officeDocument/2006/relationships/hyperlink" Target="https://www.burkert.com/en/products/proportional-valves/controllers/316529" TargetMode="External"/><Relationship Id="rId112" Type="http://schemas.openxmlformats.org/officeDocument/2006/relationships/hyperlink" Target="https://www.supplyhouse.com/Functional-Devices-TIB100A-Transformer-96VA-120-to-24-Vac-Circuit-Breaker-DIN-Rail-Mount?msockid=277021126b6a6b6a3cca367a6a576a6d" TargetMode="External"/><Relationship Id="rId16" Type="http://schemas.openxmlformats.org/officeDocument/2006/relationships/hyperlink" Target="https://www.digikey.com/en/products/detail/jonard-tools/JIC-2030/2308356?so=97133380&amp;content=productdetail_row&amp;mkt_tok=MDI4LVNYSy01MDcAAAGfqc74y9fVo3D_eYIHOq8qMpCiq1AQlBRoPSPgiUC8lxE_0DXY_ppdkf0PIg1Nc39i39ld1zszhIxhzi4NatLPa5Cp8OS-2CsOZqlhAV1hvQ" TargetMode="External"/><Relationship Id="rId107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11" Type="http://schemas.openxmlformats.org/officeDocument/2006/relationships/hyperlink" Target="https://www.burkert-usa.com/en/products/proportional-valves/controllers/316533" TargetMode="External"/><Relationship Id="rId32" Type="http://schemas.openxmlformats.org/officeDocument/2006/relationships/hyperlink" Target="https://www.grainger.com/product/1VEZ5?RIID=51819294775&amp;GID=729415832&amp;mid=OrderConfirmation_REST&amp;rfe=be60c264cb8af064766c979f26eae4bb472251d98b9b8ab10d9b00772ba5c4ca&amp;gucid=EMT:11126144:Item:CSM-323&amp;emcid=NA:Item" TargetMode="External"/><Relationship Id="rId37" Type="http://schemas.openxmlformats.org/officeDocument/2006/relationships/hyperlink" Target="https://www.grainger.com/product/1WB27?RIID=51819294775&amp;GID=729415832&amp;mid=OrderConfirmation_REST&amp;rfe=be60c264cb8af064766c979f26eae4bb472251d98b9b8ab10d9b00772ba5c4ca&amp;gucid=EMT:11126144:Item:CSM-323&amp;emcid=NA:Item" TargetMode="External"/><Relationship Id="rId53" Type="http://schemas.openxmlformats.org/officeDocument/2006/relationships/hyperlink" Target="https://www.grainger.com/product/1VGT7?RIID=51819294775&amp;GID=729415832&amp;mid=OrderConfirmation_REST&amp;rfe=846af193db4b9fe8ece7af7398118558bf0aa4ab99f90e9dc4c14e3389ebe8a4&amp;gucid=EMT:11126144:Item:CSM-323&amp;emcid=NA:Item" TargetMode="External"/><Relationship Id="rId58" Type="http://schemas.openxmlformats.org/officeDocument/2006/relationships/hyperlink" Target="https://www.grainger.com/product/854J80?RIID=51819294775&amp;GID=729415832&amp;mid=OrderConfirmation_REST&amp;rfe=846af193db4b9fe8ece7af7398118558bf0aa4ab99f90e9dc4c14e3389ebe8a4&amp;gucid=EMT:11126144:Item:CSM-323&amp;emcid=NA:Item" TargetMode="External"/><Relationship Id="rId74" Type="http://schemas.openxmlformats.org/officeDocument/2006/relationships/hyperlink" Target="https://www.grainger.com/product/31JG71?RIID=51819294775&amp;GID=729415832&amp;mid=OrderConfirmation_REST&amp;rfe=9be46b296dc7112876cd89c7aa512d9b14c9ff7a436270bdf4adc81a35dc5fc1&amp;gucid=EMT:11126144:Item:CSM-323&amp;emcid=NA:Item" TargetMode="External"/><Relationship Id="rId79" Type="http://schemas.openxmlformats.org/officeDocument/2006/relationships/hyperlink" Target="https://www.grainger.com/product/782G46?RIID=51819294775&amp;GID=729415832&amp;mid=OrderConfirmation_REST&amp;rfe=ac232cc7b935c7736f4435c50323bb59f2921ffb94961f879b251578be9b251d&amp;gucid=EMT:11126144:Item:CSM-323&amp;emcid=NA:Item" TargetMode="External"/><Relationship Id="rId102" Type="http://schemas.openxmlformats.org/officeDocument/2006/relationships/hyperlink" Target="https://www.grainger.com/product/APOLLO-Relief-Valve-FNPT-x-FNPT-804Z55" TargetMode="External"/><Relationship Id="rId5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90" Type="http://schemas.openxmlformats.org/officeDocument/2006/relationships/hyperlink" Target="https://www.dwyeromega.com/en-us/oem-style-compact-pressure-transmitters/PX119/p/PX159A-060G5V" TargetMode="External"/><Relationship Id="rId95" Type="http://schemas.openxmlformats.org/officeDocument/2006/relationships/hyperlink" Target="https://www.grainger.com/product/Hex-Nut-Std-Hex-2FE69" TargetMode="External"/><Relationship Id="rId22" Type="http://schemas.openxmlformats.org/officeDocument/2006/relationships/hyperlink" Target="https://www.bhphotovideo.com/c/product/744102-REG/Bosch_UMM_LW_20B_UMM_LW_20B_Monitor_Wall_Mount.html" TargetMode="External"/><Relationship Id="rId27" Type="http://schemas.openxmlformats.org/officeDocument/2006/relationships/hyperlink" Target="https://www.grainger.com/product/4DRC4?RIID=51819294775&amp;GID=729415832&amp;mid=OrderConfirmation_REST&amp;rfe=be60c264cb8af064766c979f26eae4bb472251d98b9b8ab10d9b00772ba5c4ca&amp;gucid=EMT:11126144:Item:CSM-323&amp;emcid=NA:Item" TargetMode="External"/><Relationship Id="rId43" Type="http://schemas.openxmlformats.org/officeDocument/2006/relationships/hyperlink" Target="https://www.grainger.com/product/1XGY9?RIID=51819294775&amp;GID=729415832&amp;mid=ShipConfirmation_REST&amp;rfe=f4552f2692caa603b91b9a50ab8ce941f1aa011dbe78b4501c3d4e8d9b0476ef&amp;gucid=EMT:11127411:Item:CSM-329&amp;emcid=NA:Item-LC_Test" TargetMode="External"/><Relationship Id="rId48" Type="http://schemas.openxmlformats.org/officeDocument/2006/relationships/hyperlink" Target="https://www.grainger.com/product/31JG65?RIID=51819294775&amp;GID=729415832&amp;mid=ShipConfirmation_REST&amp;rfe=f4552f2692caa603b91b9a50ab8ce941f1aa011dbe78b4501c3d4e8d9b0476ef&amp;gucid=EMT:11127411:Item:CSM-329&amp;emcid=NA:Item-LC_Test" TargetMode="External"/><Relationship Id="rId64" Type="http://schemas.openxmlformats.org/officeDocument/2006/relationships/hyperlink" Target="https://www.grainger.com/product/13Y906?RIID=51819294775&amp;GID=729415832&amp;mid=OrderConfirmation_REST&amp;rfe=e26a9d15005b14a2115fa5cf04e2db1f77908f435ad573cd00d2c46a5d28a1da&amp;gucid=EMT:11126144:Item:CSM-323&amp;emcid=NA:Item" TargetMode="External"/><Relationship Id="rId69" Type="http://schemas.openxmlformats.org/officeDocument/2006/relationships/hyperlink" Target="https://www.grainger.com/product/31JG34?RIID=51819294775&amp;GID=729415832&amp;mid=OrderConfirmation_REST&amp;rfe=339eda075223b1db0bdb6be138010ac778453f7afa08f51021b907c8267622ac&amp;gucid=EMT:11126144:Item:CSM-323&amp;emcid=NA:Item" TargetMode="External"/><Relationship Id="rId113" Type="http://schemas.openxmlformats.org/officeDocument/2006/relationships/hyperlink" Target="https://www.digikey.com/en/products/detail/aim-dynamics/TIB100A/28736836?msockid=277021126b6a6b6a3cca367a6a576a6d" TargetMode="External"/><Relationship Id="rId80" Type="http://schemas.openxmlformats.org/officeDocument/2006/relationships/hyperlink" Target="https://www.grainger.com/product/1RTU2?RIID=51819294775&amp;GID=729415832&amp;mid=OrderConfirmation_REST&amp;rfe=ac232cc7b935c7736f4435c50323bb59f2921ffb94961f879b251578be9b251d&amp;gucid=EMT:11126144:Item:CSM-323&amp;emcid=NA:Item" TargetMode="External"/><Relationship Id="rId85" Type="http://schemas.openxmlformats.org/officeDocument/2006/relationships/hyperlink" Target="https://www.grainger.com/product/46M483?RIID=51819294775&amp;GID=729415832&amp;mid=OrderConfirmation_REST&amp;rfe=6d4e1d7881c4014dc580a65ce33a0287e6d4e842f558a81fadd5dcde7a752909&amp;gucid=EMT:11126144:Item:CSM-323&amp;emcid=NA:Item" TargetMode="External"/><Relationship Id="rId12" Type="http://schemas.openxmlformats.org/officeDocument/2006/relationships/hyperlink" Target="https://www.burkert-usa.com/en/type/8605?utm_source=DataSheet-8605&amp;utm_medium=Text-Link&amp;utm_campaign=Type-Link&amp;utm_content=Typ-8605" TargetMode="External"/><Relationship Id="rId17" Type="http://schemas.openxmlformats.org/officeDocument/2006/relationships/hyperlink" Target="https://www.digikey.com/en/products/detail/klein-tools-inc/34055/24627409?so=97133380&amp;content=productdetail_row&amp;mkt_tok=MDI4LVNYSy01MDcAAAGfqc74y-LsPsvVQ5V6Hu53b7J9vpASeLmlJbJNm4ZIjBVDRhamAmNAH72cjUqWXQCpIXSkP4XcJ4H4RZ89yC3kaEsDbSqDUKqBb6zI28B0Zw" TargetMode="External"/><Relationship Id="rId33" Type="http://schemas.openxmlformats.org/officeDocument/2006/relationships/hyperlink" Target="https://www.grainger.com/product/6RCZ8?RIID=51819294775&amp;GID=729415832&amp;mid=OrderConfirmation_REST&amp;rfe=be60c264cb8af064766c979f26eae4bb472251d98b9b8ab10d9b00772ba5c4ca&amp;gucid=EMT:11126144:Item:CSM-323&amp;emcid=NA:Item" TargetMode="External"/><Relationship Id="rId38" Type="http://schemas.openxmlformats.org/officeDocument/2006/relationships/hyperlink" Target="https://www.grainger.com/product/4RDG3?RIID=51819294775&amp;GID=729415832&amp;mid=OrderConfirmation_REST&amp;rfe=be60c264cb8af064766c979f26eae4bb472251d98b9b8ab10d9b00772ba5c4ca&amp;gucid=EMT:11126144:Item:CSM-323&amp;emcid=NA:Item" TargetMode="External"/><Relationship Id="rId59" Type="http://schemas.openxmlformats.org/officeDocument/2006/relationships/hyperlink" Target="https://www.grainger.com/product/39F868?RIID=51819294775&amp;GID=729415832&amp;mid=OrderConfirmation_REST&amp;rfe=44f11199fadbcf147fda723c62c47a7f8f9c1ba8a466d6b3c04e15e2f492c78d&amp;gucid=EMT:11126144:Item:CSM-323&amp;emcid=NA:Item" TargetMode="External"/><Relationship Id="rId103" Type="http://schemas.openxmlformats.org/officeDocument/2006/relationships/hyperlink" Target="https://www.grainger.com/product/803H45?RIID=51819294775&amp;GID=729415832&amp;mid=OrderConfirmation_REST&amp;rfe=a98025ace82cfe3e9959eb0e2dd5f9501b4a446af591eb4540e15aea507809d7&amp;gucid=EMT:11126144:Item:CSM-323&amp;emcid=NA:Item" TargetMode="External"/><Relationship Id="rId108" Type="http://schemas.openxmlformats.org/officeDocument/2006/relationships/hyperlink" Target="https://www.grainger.com/product/20KF99?RIID=51819294775&amp;GID=729415832&amp;mid=OrderConfirmation_REST&amp;rfe=a98025ace82cfe3e9959eb0e2dd5f9501b4a446af591eb4540e15aea507809d7&amp;gucid=EMT:11126144:Item:CSM-323&amp;emcid=NA:Item" TargetMode="External"/><Relationship Id="rId54" Type="http://schemas.openxmlformats.org/officeDocument/2006/relationships/hyperlink" Target="https://www.grainger.com/product/4UEG9?RIID=51819294775&amp;GID=729415832&amp;mid=OrderConfirmation_REST&amp;rfe=846af193db4b9fe8ece7af7398118558bf0aa4ab99f90e9dc4c14e3389ebe8a4&amp;gucid=EMT:11126144:Item:CSM-323&amp;emcid=NA:Item" TargetMode="External"/><Relationship Id="rId70" Type="http://schemas.openxmlformats.org/officeDocument/2006/relationships/hyperlink" Target="https://www.grainger.com/product/5YE11?RIID=51819294775&amp;GID=729415832&amp;mid=OrderConfirmation_REST&amp;rfe=339eda075223b1db0bdb6be138010ac778453f7afa08f51021b907c8267622ac&amp;gucid=EMT:11126144:Item:CSM-323&amp;emcid=NA:Item" TargetMode="External"/><Relationship Id="rId75" Type="http://schemas.openxmlformats.org/officeDocument/2006/relationships/hyperlink" Target="https://www.grainger.com/product/10W663?RIID=51819294775&amp;GID=729415832&amp;mid=OrderConfirmation_REST&amp;rfe=9be46b296dc7112876cd89c7aa512d9b14c9ff7a436270bdf4adc81a35dc5fc1&amp;gucid=EMT:11126144:Item:CSM-323&amp;emcid=NA:Item" TargetMode="External"/><Relationship Id="rId91" Type="http://schemas.openxmlformats.org/officeDocument/2006/relationships/hyperlink" Target="https://www.grainger.com/product/22UL43?RIID=51819294775&amp;GID=729415832&amp;mid=OrderConfirmation_REST&amp;rfe=5fbed57f928e0d20c3753de78a2b9a38ffd20234e126526a2f6d6b4fe4e772db&amp;gucid=EMT:11126144:Item:CSM-323&amp;emcid=NA:Item" TargetMode="External"/><Relationship Id="rId96" Type="http://schemas.openxmlformats.org/officeDocument/2006/relationships/hyperlink" Target="https://www.grainger.com/product/Mil-Spec-Flat-Washer-18-8-2DNV3" TargetMode="External"/><Relationship Id="rId1" Type="http://schemas.openxmlformats.org/officeDocument/2006/relationships/hyperlink" Target="https://www.mscdirect.com/product/details/92012988?rItem=92012988" TargetMode="External"/><Relationship Id="rId6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15" Type="http://schemas.openxmlformats.org/officeDocument/2006/relationships/hyperlink" Target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TargetMode="External"/><Relationship Id="rId23" Type="http://schemas.openxmlformats.org/officeDocument/2006/relationships/hyperlink" Target="https://www.grainger.com/product/3AAA2?RIID=51819294775&amp;GID=729415832&amp;mid=OrderConfirmation_REST&amp;rfe=be60c264cb8af064766c979f26eae4bb472251d98b9b8ab10d9b00772ba5c4ca&amp;gucid=EMT:11126144:Item:CSM-323&amp;emcid=NA:Item" TargetMode="External"/><Relationship Id="rId28" Type="http://schemas.openxmlformats.org/officeDocument/2006/relationships/hyperlink" Target="https://www.grainger.com/product/1VGU6?RIID=51819294775&amp;GID=729415832&amp;mid=OrderConfirmation_REST&amp;rfe=be60c264cb8af064766c979f26eae4bb472251d98b9b8ab10d9b00772ba5c4ca&amp;gucid=EMT:11126144:Item:CSM-323&amp;emcid=NA:Item" TargetMode="External"/><Relationship Id="rId36" Type="http://schemas.openxmlformats.org/officeDocument/2006/relationships/hyperlink" Target="https://www.grainger.com/product/22FP63?RIID=51819294775&amp;GID=729415832&amp;mid=OrderConfirmation_REST&amp;rfe=be60c264cb8af064766c979f26eae4bb472251d98b9b8ab10d9b00772ba5c4ca&amp;gucid=EMT:11126144:Item:CSM-323&amp;emcid=NA:Item" TargetMode="External"/><Relationship Id="rId49" Type="http://schemas.openxmlformats.org/officeDocument/2006/relationships/hyperlink" Target="https://www.grainger.com/product/31JG35?RIID=51819294775&amp;GID=729415832&amp;mid=ShipConfirmation_REST&amp;rfe=f4552f2692caa603b91b9a50ab8ce941f1aa011dbe78b4501c3d4e8d9b0476ef&amp;gucid=EMT:11127411:Item:CSM-329&amp;emcid=NA:Item-LC_Test" TargetMode="External"/><Relationship Id="rId57" Type="http://schemas.openxmlformats.org/officeDocument/2006/relationships/hyperlink" Target="https://www.grainger.com/product/30PK27?RIID=51819294775&amp;GID=729415832&amp;mid=OrderConfirmation_REST&amp;rfe=846af193db4b9fe8ece7af7398118558bf0aa4ab99f90e9dc4c14e3389ebe8a4&amp;gucid=EMT:11126144:Item:CSM-323&amp;emcid=NA:Item" TargetMode="External"/><Relationship Id="rId106" Type="http://schemas.openxmlformats.org/officeDocument/2006/relationships/hyperlink" Target="https://www.grainger.com/product/Compression-Fitting-Coupling-20XM55" TargetMode="External"/><Relationship Id="rId114" Type="http://schemas.openxmlformats.org/officeDocument/2006/relationships/hyperlink" Target="https://us.rs-online.com/product/honeywell/csns300m-500/71240882/" TargetMode="External"/><Relationship Id="rId10" Type="http://schemas.openxmlformats.org/officeDocument/2006/relationships/hyperlink" Target="https://www.grainger.com/product/PARKER-Compression-Fitting-Adapter-20YY84" TargetMode="External"/><Relationship Id="rId31" Type="http://schemas.openxmlformats.org/officeDocument/2006/relationships/hyperlink" Target="https://www.grainger.com/product/2CFF9?RIID=51819294775&amp;GID=729415832&amp;mid=OrderConfirmation_REST&amp;rfe=be60c264cb8af064766c979f26eae4bb472251d98b9b8ab10d9b00772ba5c4ca&amp;gucid=EMT:11126144:Item:CSM-323&amp;emcid=NA:Item" TargetMode="External"/><Relationship Id="rId44" Type="http://schemas.openxmlformats.org/officeDocument/2006/relationships/hyperlink" Target="https://www.grainger.com/product/55EU91?RIID=51819294775&amp;GID=729415832&amp;mid=ShipConfirmation_REST&amp;rfe=f4552f2692caa603b91b9a50ab8ce941f1aa011dbe78b4501c3d4e8d9b0476ef&amp;gucid=EMT:11127411:Item:CSM-329&amp;emcid=NA:Item-LC_Test" TargetMode="External"/><Relationship Id="rId52" Type="http://schemas.openxmlformats.org/officeDocument/2006/relationships/hyperlink" Target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TargetMode="External"/><Relationship Id="rId60" Type="http://schemas.openxmlformats.org/officeDocument/2006/relationships/hyperlink" Target="https://www.grainger.com/product/4AUW6?RIID=51819294775&amp;GID=729415832&amp;mid=OrderConfirmation_REST&amp;rfe=44f11199fadbcf147fda723c62c47a7f8f9c1ba8a466d6b3c04e15e2f492c78d&amp;gucid=EMT:11126144:Item:CSM-323&amp;emcid=NA:Item" TargetMode="External"/><Relationship Id="rId65" Type="http://schemas.openxmlformats.org/officeDocument/2006/relationships/hyperlink" Target="https://www.grainger.com/product/6AFP2?RIID=51819294775&amp;GID=729415832&amp;mid=OrderConfirmation_REST&amp;rfe=e26a9d15005b14a2115fa5cf04e2db1f77908f435ad573cd00d2c46a5d28a1da&amp;gucid=EMT:11126144:Item:CSM-323&amp;emcid=NA:Item" TargetMode="External"/><Relationship Id="rId73" Type="http://schemas.openxmlformats.org/officeDocument/2006/relationships/hyperlink" Target="https://www.grainger.com/product/30F070?RIID=51819294775&amp;GID=729415832&amp;mid=OrderConfirmation_REST&amp;rfe=9be46b296dc7112876cd89c7aa512d9b14c9ff7a436270bdf4adc81a35dc5fc1&amp;gucid=EMT:11126144:Item:CSM-323&amp;emcid=NA:Item" TargetMode="External"/><Relationship Id="rId78" Type="http://schemas.openxmlformats.org/officeDocument/2006/relationships/hyperlink" Target="https://www.grainger.com/product/30WH23?RIID=51819294775&amp;GID=729415832&amp;mid=OrderConfirmation_REST&amp;rfe=ac232cc7b935c7736f4435c50323bb59f2921ffb94961f879b251578be9b251d&amp;gucid=EMT:11126144:Item:CSM-323&amp;emcid=NA:Item" TargetMode="External"/><Relationship Id="rId81" Type="http://schemas.openxmlformats.org/officeDocument/2006/relationships/hyperlink" Target="https://www.grainger.com/product/18Z758?RIID=51819294775&amp;GID=729415832&amp;mid=OrderConfirmation_REST&amp;rfe=ac232cc7b935c7736f4435c50323bb59f2921ffb94961f879b251578be9b251d&amp;gucid=EMT:11126144:Item:CSM-323&amp;emcid=NA:Item" TargetMode="External"/><Relationship Id="rId86" Type="http://schemas.openxmlformats.org/officeDocument/2006/relationships/hyperlink" Target="https://www.grainger.com/product/1VFX8?RIID=51819294775&amp;GID=729415832&amp;mid=OrderConfirmation_REST&amp;rfe=6d4e1d7881c4014dc580a65ce33a0287e6d4e842f558a81fadd5dcde7a752909&amp;gucid=EMT:11126144:Item:CSM-323&amp;emcid=NA:Item" TargetMode="External"/><Relationship Id="rId94" Type="http://schemas.openxmlformats.org/officeDocument/2006/relationships/hyperlink" Target="https://www.grainger.com/product/IGUS-Flanged-Sleeve-Bearing-Polymer-2NCK6" TargetMode="External"/><Relationship Id="rId99" Type="http://schemas.openxmlformats.org/officeDocument/2006/relationships/hyperlink" Target="https://www.cdwg.com/product/eaton-tripp-lite-series-usb-3.2-gen-1-superspeed-device-cable-a-to-b-m-m/3386201" TargetMode="External"/><Relationship Id="rId101" Type="http://schemas.openxmlformats.org/officeDocument/2006/relationships/hyperlink" Target="https://www.grainger.com/product/BELL-GOSSETT-Water-Pressure-Reducing-Valve-6LFA3" TargetMode="External"/><Relationship Id="rId4" Type="http://schemas.openxmlformats.org/officeDocument/2006/relationships/hyperlink" Target="https://www.fastenal.com/product/details/99176795" TargetMode="External"/><Relationship Id="rId9" Type="http://schemas.openxmlformats.org/officeDocument/2006/relationships/hyperlink" Target="https://www.grainger.com/product/PARKER-Metal-Pipe-Tee-Tee-13Y864" TargetMode="External"/><Relationship Id="rId13" Type="http://schemas.openxmlformats.org/officeDocument/2006/relationships/hyperlink" Target="https://www.burkert-usa.com/en/products/solenoid-valves/accessories/cable-plugs/314802?utm_campaign=Article-Link&amp;utm_content=314802&amp;utm_medium=Text-Link&amp;utm_source=DataSheet-2836" TargetMode="External"/><Relationship Id="rId18" Type="http://schemas.openxmlformats.org/officeDocument/2006/relationships/hyperlink" Target="https://www.digikey.com/en/products/detail/american-electrical-inc/1161014/266366?so=97133380&amp;content=productdetail_row&amp;mkt_tok=MDI4LVNYSy01MDcAAAGfqc74y_2nxjw-T57RmEQGrUX63KPY4YoEnMSjghSuuo7pkFXLLVrDjGzE1S6EwVJzLXYpMCRfqTB2XjQf-7zCw5WzPNIjIpufSD41ZSQB-A" TargetMode="External"/><Relationship Id="rId39" Type="http://schemas.openxmlformats.org/officeDocument/2006/relationships/hyperlink" Target="https://www.grainger.com/product/22FP85?RIID=51819294775&amp;GID=729415832&amp;mid=OrderConfirmation_REST&amp;rfe=be60c264cb8af064766c979f26eae4bb472251d98b9b8ab10d9b00772ba5c4ca&amp;gucid=EMT:11126144:Item:CSM-323&amp;emcid=NA:Item" TargetMode="External"/><Relationship Id="rId109" Type="http://schemas.openxmlformats.org/officeDocument/2006/relationships/hyperlink" Target="https://www.digikey.com/en/products/detail/advantech-corporation/bb-mdr-40-48/7426468" TargetMode="External"/><Relationship Id="rId34" Type="http://schemas.openxmlformats.org/officeDocument/2006/relationships/hyperlink" Target="https://www.grainger.com/product/1VGR6?RIID=51819294775&amp;GID=729415832&amp;mid=OrderConfirmation_REST&amp;rfe=be60c264cb8af064766c979f26eae4bb472251d98b9b8ab10d9b00772ba5c4ca&amp;gucid=EMT:11126144:Item:CSM-323&amp;emcid=NA:Item" TargetMode="External"/><Relationship Id="rId50" Type="http://schemas.openxmlformats.org/officeDocument/2006/relationships/hyperlink" Target="https://www.grainger.com/product/1RUZ1?RIID=51819294775&amp;GID=729415832&amp;mid=ShipConfirmation_REST&amp;rfe=f4552f2692caa603b91b9a50ab8ce941f1aa011dbe78b4501c3d4e8d9b0476ef&amp;gucid=EMT:11127411:Item:CSM-329&amp;emcid=NA:Item-LC_Test" TargetMode="External"/><Relationship Id="rId55" Type="http://schemas.openxmlformats.org/officeDocument/2006/relationships/hyperlink" Target="https://www.grainger.com/product/10W669?RIID=51819294775&amp;GID=729415832&amp;mid=OrderConfirmation_REST&amp;rfe=846af193db4b9fe8ece7af7398118558bf0aa4ab99f90e9dc4c14e3389ebe8a4&amp;gucid=EMT:11126144:Item:CSM-323&amp;emcid=NA:Item" TargetMode="External"/><Relationship Id="rId76" Type="http://schemas.openxmlformats.org/officeDocument/2006/relationships/hyperlink" Target="https://www.grainger.com/product/6MX55?RIID=51819294775&amp;GID=729415832&amp;mid=OrderConfirmation_REST&amp;rfe=ac232cc7b935c7736f4435c50323bb59f2921ffb94961f879b251578be9b251d&amp;gucid=EMT:11126144:Item:CSM-323&amp;emcid=NA:Item" TargetMode="External"/><Relationship Id="rId97" Type="http://schemas.openxmlformats.org/officeDocument/2006/relationships/hyperlink" Target="https://www.grainger.com/product/Hex-Head-Cap-Screw-Steel-23KZ77" TargetMode="External"/><Relationship Id="rId104" Type="http://schemas.openxmlformats.org/officeDocument/2006/relationships/hyperlink" Target="https://www.grainger.com/product/20KF99?RIID=51819294775&amp;GID=729415832&amp;mid=OrderConfirmation_REST&amp;rfe=a98025ace82cfe3e9959eb0e2dd5f9501b4a446af591eb4540e15aea507809d7&amp;gucid=EMT:11126144:Item:CSM-323&amp;emcid=NA:Item" TargetMode="External"/><Relationship Id="rId7" Type="http://schemas.openxmlformats.org/officeDocument/2006/relationships/hyperlink" Target="https://www.grainger.com/product/Metal-Pipe-Flange-Flange-4WPV1" TargetMode="External"/><Relationship Id="rId71" Type="http://schemas.openxmlformats.org/officeDocument/2006/relationships/hyperlink" Target="https://www.grainger.com/product/22UG07?RIID=51819294775&amp;GID=729415832&amp;mid=OrderConfirmation_REST&amp;rfe=339eda075223b1db0bdb6be138010ac778453f7afa08f51021b907c8267622ac&amp;gucid=EMT:11126144:Item:CSM-323&amp;emcid=NA:Item" TargetMode="External"/><Relationship Id="rId92" Type="http://schemas.openxmlformats.org/officeDocument/2006/relationships/hyperlink" Target="https://www.grainger.com/product/20XM58?RIID=51819294775&amp;GID=729415832&amp;mid=OrderConfirmation_REST&amp;rfe=5fbed57f928e0d20c3753de78a2b9a38ffd20234e126526a2f6d6b4fe4e772db&amp;gucid=EMT:11126144:Item:CSM-323&amp;emcid=NA:Item" TargetMode="External"/><Relationship Id="rId2" Type="http://schemas.openxmlformats.org/officeDocument/2006/relationships/hyperlink" Target="https://www.mscdirect.com/product/details/67436964?rItem=67436964" TargetMode="External"/><Relationship Id="rId29" Type="http://schemas.openxmlformats.org/officeDocument/2006/relationships/hyperlink" Target="https://www.grainger.com/product/1VGU2?RIID=51819294775&amp;GID=729415832&amp;mid=OrderConfirmation_REST&amp;rfe=be60c264cb8af064766c979f26eae4bb472251d98b9b8ab10d9b00772ba5c4ca&amp;gucid=EMT:11126144:Item:CSM-323&amp;emcid=NA:Item" TargetMode="External"/><Relationship Id="rId24" Type="http://schemas.openxmlformats.org/officeDocument/2006/relationships/hyperlink" Target="https://www.grainger.com/product/5ZY28?RIID=51819294775&amp;GID=729415832&amp;mid=OrderConfirmation_REST&amp;rfe=be60c264cb8af064766c979f26eae4bb472251d98b9b8ab10d9b00772ba5c4ca&amp;gucid=EMT:11126144:Item:CSM-323&amp;emcid=NA:Item" TargetMode="External"/><Relationship Id="rId40" Type="http://schemas.openxmlformats.org/officeDocument/2006/relationships/hyperlink" Target="https://www.grainger.com/product/6RDA5?RIID=51819294775&amp;GID=729415832&amp;mid=OrderConfirmation_REST&amp;rfe=be60c264cb8af064766c979f26eae4bb472251d98b9b8ab10d9b00772ba5c4ca&amp;gucid=EMT:11126144:Item:CSM-323&amp;emcid=NA:Item" TargetMode="External"/><Relationship Id="rId45" Type="http://schemas.openxmlformats.org/officeDocument/2006/relationships/hyperlink" Target="https://www.grainger.com/product/6AFN6?RIID=51819294775&amp;GID=729415832&amp;mid=ShipConfirmation_REST&amp;rfe=f4552f2692caa603b91b9a50ab8ce941f1aa011dbe78b4501c3d4e8d9b0476ef&amp;gucid=EMT:11127411:Item:CSM-329&amp;emcid=NA:Item-LC_Test" TargetMode="External"/><Relationship Id="rId66" Type="http://schemas.openxmlformats.org/officeDocument/2006/relationships/hyperlink" Target="https://www.grainger.com/product/1RVC2?RIID=51819294775&amp;GID=729415832&amp;mid=OrderConfirmation_REST&amp;rfe=e26a9d15005b14a2115fa5cf04e2db1f77908f435ad573cd00d2c46a5d28a1da&amp;gucid=EMT:11126144:Item:CSM-323&amp;emcid=NA:Item" TargetMode="External"/><Relationship Id="rId87" Type="http://schemas.openxmlformats.org/officeDocument/2006/relationships/hyperlink" Target="https://www.dwyeromega.com/en-us/oem-style-compact-pressure-transmitters/PX119/p/PX159A-060G5V" TargetMode="External"/><Relationship Id="rId110" Type="http://schemas.openxmlformats.org/officeDocument/2006/relationships/hyperlink" Target="https://www.grainger.com/product/Metal-Pipe-Flange-Flange-60WJ74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https://www.grainger.com/product/22FP84?RIID=51819294775&amp;GID=729415832&amp;mid=OrderConfirmation_REST&amp;rfe=44f11199fadbcf147fda723c62c47a7f8f9c1ba8a466d6b3c04e15e2f492c78d&amp;gucid=EMT:11126144:Item:CSM-323&amp;emcid=NA:Item" TargetMode="External"/><Relationship Id="rId82" Type="http://schemas.openxmlformats.org/officeDocument/2006/relationships/hyperlink" Target="https://www.grainger.com/product/793MY3?RIID=51819294775&amp;GID=729415832&amp;mid=OrderConfirmation_REST&amp;rfe=ac232cc7b935c7736f4435c50323bb59f2921ffb94961f879b251578be9b251d&amp;gucid=EMT:11126144:Item:CSM-323&amp;emcid=NA:Item" TargetMode="External"/><Relationship Id="rId19" Type="http://schemas.openxmlformats.org/officeDocument/2006/relationships/hyperlink" Target="https://www.bhphotovideo.com/c/product/744102-REG/Bosch_UMM_LW_20B_UMM_LW_20B_Monitor_Wall_Mount.html" TargetMode="External"/><Relationship Id="rId14" Type="http://schemas.openxmlformats.org/officeDocument/2006/relationships/hyperlink" Target="https://www.burkert-usa.com/en/products/proportional-valves/general-purpose-proportional-valves/164598" TargetMode="External"/><Relationship Id="rId30" Type="http://schemas.openxmlformats.org/officeDocument/2006/relationships/hyperlink" Target="https://www.grainger.com/product/1VER9?RIID=51819294775&amp;GID=729415832&amp;mid=OrderConfirmation_REST&amp;rfe=be60c264cb8af064766c979f26eae4bb472251d98b9b8ab10d9b00772ba5c4ca&amp;gucid=EMT:11126144:Item:CSM-323&amp;emcid=NA:Item" TargetMode="External"/><Relationship Id="rId35" Type="http://schemas.openxmlformats.org/officeDocument/2006/relationships/hyperlink" Target="https://www.grainger.com/product/22FP62?RIID=51819294775&amp;GID=729415832&amp;mid=OrderConfirmation_REST&amp;rfe=be60c264cb8af064766c979f26eae4bb472251d98b9b8ab10d9b00772ba5c4ca&amp;gucid=EMT:11126144:Item:CSM-323&amp;emcid=NA:Item" TargetMode="External"/><Relationship Id="rId56" Type="http://schemas.openxmlformats.org/officeDocument/2006/relationships/hyperlink" Target="https://www.grainger.com/product/40TW73?RIID=51819294775&amp;GID=729415832&amp;mid=OrderConfirmation_REST&amp;rfe=846af193db4b9fe8ece7af7398118558bf0aa4ab99f90e9dc4c14e3389ebe8a4&amp;gucid=EMT:11126144:Item:CSM-323&amp;emcid=NA:Item" TargetMode="External"/><Relationship Id="rId77" Type="http://schemas.openxmlformats.org/officeDocument/2006/relationships/hyperlink" Target="https://www.grainger.com/product/6MX66?RIID=51819294775&amp;GID=729415832&amp;mid=OrderConfirmation_REST&amp;rfe=ac232cc7b935c7736f4435c50323bb59f2921ffb94961f879b251578be9b251d&amp;gucid=EMT:11126144:Item:CSM-323&amp;emcid=NA:Item" TargetMode="External"/><Relationship Id="rId100" Type="http://schemas.openxmlformats.org/officeDocument/2006/relationships/hyperlink" Target="https://www.grainger.com/product/BANJO-Inline-Strainer-Polypropylene-3ELX2" TargetMode="External"/><Relationship Id="rId105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8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51" Type="http://schemas.openxmlformats.org/officeDocument/2006/relationships/hyperlink" Target="https://www.grainger.com/product/48XH63?RIID=51819294775&amp;GID=729415832&amp;mid=ShipConfirmation_REST&amp;rfe=f4552f2692caa603b91b9a50ab8ce941f1aa011dbe78b4501c3d4e8d9b0476ef&amp;gucid=EMT:11127411:Item:CSM-329&amp;emcid=NA:Item-LC_Test" TargetMode="External"/><Relationship Id="rId72" Type="http://schemas.openxmlformats.org/officeDocument/2006/relationships/hyperlink" Target="https://www.grainger.com/product/3AUW4?RIID=51819294775&amp;GID=729415832&amp;mid=OrderConfirmation_REST&amp;rfe=339eda075223b1db0bdb6be138010ac778453f7afa08f51021b907c8267622ac&amp;gucid=EMT:11126144:Item:CSM-323&amp;emcid=NA:Item" TargetMode="External"/><Relationship Id="rId93" Type="http://schemas.openxmlformats.org/officeDocument/2006/relationships/hyperlink" Target="https://www.grainger.com/product/4WPV1?RIID=51819294775&amp;GID=729415832&amp;mid=OrderConfirmation_REST&amp;rfe=5fbed57f928e0d20c3753de78a2b9a38ffd20234e126526a2f6d6b4fe4e772db&amp;gucid=EMT:11126144:Item:CSM-323&amp;emcid=NA:Item" TargetMode="External"/><Relationship Id="rId98" Type="http://schemas.openxmlformats.org/officeDocument/2006/relationships/hyperlink" Target="https://www.cdwg.com/product/belkin-16ft-4.8m-usb-2.0-a-b-device-cable-printer-cable/1109346" TargetMode="External"/><Relationship Id="rId3" Type="http://schemas.openxmlformats.org/officeDocument/2006/relationships/hyperlink" Target="https://www.mscdirect.com/product/details/67473967?rItem=67473967" TargetMode="External"/><Relationship Id="rId25" Type="http://schemas.openxmlformats.org/officeDocument/2006/relationships/hyperlink" Target="https://www.grainger.com/product/13Y764?RIID=51819294775&amp;GID=729415832&amp;mid=OrderConfirmation_REST&amp;rfe=be60c264cb8af064766c979f26eae4bb472251d98b9b8ab10d9b00772ba5c4ca&amp;gucid=EMT:11126144:Item:CSM-323&amp;emcid=NA:Item" TargetMode="External"/><Relationship Id="rId46" Type="http://schemas.openxmlformats.org/officeDocument/2006/relationships/hyperlink" Target="https://www.grainger.com/product/3KUK5?RIID=51819294775&amp;GID=729415832&amp;mid=ShipConfirmation_REST&amp;rfe=f4552f2692caa603b91b9a50ab8ce941f1aa011dbe78b4501c3d4e8d9b0476ef&amp;gucid=EMT:11127411:Item:CSM-329&amp;emcid=NA:Item-LC_Test" TargetMode="External"/><Relationship Id="rId67" Type="http://schemas.openxmlformats.org/officeDocument/2006/relationships/hyperlink" Target="https://www.grainger.com/product/1RVC1?RIID=51819294775&amp;GID=729415832&amp;mid=OrderConfirmation_REST&amp;rfe=e26a9d15005b14a2115fa5cf04e2db1f77908f435ad573cd00d2c46a5d28a1da&amp;gucid=EMT:11126144:Item:CSM-323&amp;emcid=NA:Item" TargetMode="External"/><Relationship Id="rId116" Type="http://schemas.openxmlformats.org/officeDocument/2006/relationships/table" Target="../tables/table1.xml"/><Relationship Id="rId20" Type="http://schemas.openxmlformats.org/officeDocument/2006/relationships/hyperlink" Target="https://www.cdwg.com/product/dell-p2424ht-led-monitor-full-hd-1080p-24/7568365?enkwrd=7568365" TargetMode="External"/><Relationship Id="rId41" Type="http://schemas.openxmlformats.org/officeDocument/2006/relationships/hyperlink" Target="https://www.grainger.com/product/6RCY9?RIID=51819294775&amp;GID=729415832&amp;mid=OrderConfirmation_REST&amp;rfe=be60c264cb8af064766c979f26eae4bb472251d98b9b8ab10d9b00772ba5c4ca&amp;gucid=EMT:11126144:Item:CSM-323&amp;emcid=NA:Item" TargetMode="External"/><Relationship Id="rId62" Type="http://schemas.openxmlformats.org/officeDocument/2006/relationships/hyperlink" Target="https://www.grainger.com/product/6AFL8?RIID=51819294775&amp;GID=729415832&amp;mid=OrderConfirmation_REST&amp;rfe=e26a9d15005b14a2115fa5cf04e2db1f77908f435ad573cd00d2c46a5d28a1da&amp;gucid=EMT:11126144:Item:CSM-323&amp;emcid=NA:Item" TargetMode="External"/><Relationship Id="rId83" Type="http://schemas.openxmlformats.org/officeDocument/2006/relationships/hyperlink" Target="https://www.grainger.com/product/5P553?RIID=51819294775&amp;GID=729415832&amp;mid=OrderConfirmation_REST&amp;rfe=ac232cc7b935c7736f4435c50323bb59f2921ffb94961f879b251578be9b251d&amp;gucid=EMT:11126144:Item:CSM-323&amp;emcid=NA:Item" TargetMode="External"/><Relationship Id="rId88" Type="http://schemas.openxmlformats.org/officeDocument/2006/relationships/hyperlink" Target="https://www.grainger.com/product/Hex-Tap-Bolt-Stainless-Steel-41UH04?gucid=n:n:em:owned:wwg:deliveryConfirmation:apz_1&amp;emcid=body:pdpurl" TargetMode="External"/><Relationship Id="rId111" Type="http://schemas.openxmlformats.org/officeDocument/2006/relationships/hyperlink" Target="https://www.digikey.com/en/products/detail/pulse-egston/N1HLR-2700MV-KA-5V/29410171?gclid=d0e0296f6f231fb67a4543cf4f2a21d9&amp;gclsrc=3p.ds&amp;msclkid=d0e0296f6f231fb67a4543cf4f2a21d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127"/>
  <sheetViews>
    <sheetView tabSelected="1" topLeftCell="A101" zoomScale="85" zoomScaleNormal="85" workbookViewId="0">
      <selection activeCell="H118" sqref="H118"/>
    </sheetView>
  </sheetViews>
  <sheetFormatPr defaultColWidth="8.6640625" defaultRowHeight="14.4" x14ac:dyDescent="0.3"/>
  <cols>
    <col min="1" max="1" width="39" customWidth="1"/>
    <col min="2" max="2" width="33.109375" customWidth="1"/>
    <col min="3" max="3" width="16.44140625" bestFit="1" customWidth="1"/>
    <col min="4" max="4" width="15.6640625" bestFit="1" customWidth="1"/>
    <col min="5" max="5" width="13.44140625" bestFit="1" customWidth="1"/>
    <col min="6" max="6" width="13.44140625" customWidth="1"/>
    <col min="7" max="7" width="13" customWidth="1"/>
    <col min="8" max="8" width="79" bestFit="1" customWidth="1"/>
    <col min="9" max="9" width="45.44140625" bestFit="1" customWidth="1"/>
    <col min="10" max="10" width="83.44140625" customWidth="1"/>
    <col min="11" max="11" width="62.44140625" customWidth="1"/>
    <col min="12" max="12" width="55.6640625" customWidth="1"/>
    <col min="13" max="13" width="51" customWidth="1"/>
  </cols>
  <sheetData>
    <row r="1" spans="1:13" ht="15" customHeight="1" x14ac:dyDescent="0.3">
      <c r="A1" s="7" t="s">
        <v>8</v>
      </c>
      <c r="B1" s="2" t="s">
        <v>9</v>
      </c>
      <c r="C1" s="7" t="s">
        <v>7</v>
      </c>
      <c r="D1" s="7" t="s">
        <v>154</v>
      </c>
      <c r="E1" s="7" t="s">
        <v>1</v>
      </c>
      <c r="F1" s="6" t="s">
        <v>0</v>
      </c>
      <c r="G1" s="5" t="s">
        <v>6</v>
      </c>
      <c r="H1" s="9" t="s">
        <v>2</v>
      </c>
      <c r="I1" s="9" t="s">
        <v>3</v>
      </c>
      <c r="J1" s="9" t="s">
        <v>4</v>
      </c>
      <c r="K1" s="9" t="s">
        <v>5</v>
      </c>
    </row>
    <row r="2" spans="1:13" ht="15" customHeight="1" x14ac:dyDescent="0.3">
      <c r="A2" s="12" t="s">
        <v>10</v>
      </c>
      <c r="B2" s="23" t="s">
        <v>247</v>
      </c>
      <c r="C2" s="12">
        <v>92012988</v>
      </c>
      <c r="D2" s="7">
        <v>1</v>
      </c>
      <c r="E2" s="7">
        <v>25.58</v>
      </c>
      <c r="F2" s="6">
        <f>D2*E2</f>
        <v>25.58</v>
      </c>
      <c r="G2" s="5"/>
      <c r="H2" s="20" t="s">
        <v>155</v>
      </c>
      <c r="J2" s="2"/>
    </row>
    <row r="3" spans="1:13" ht="15" customHeight="1" x14ac:dyDescent="0.3">
      <c r="A3" s="13" t="s">
        <v>11</v>
      </c>
      <c r="B3" s="23" t="s">
        <v>156</v>
      </c>
      <c r="C3" s="13">
        <v>67436964</v>
      </c>
      <c r="D3" s="8">
        <v>10</v>
      </c>
      <c r="E3" s="8">
        <v>1.71</v>
      </c>
      <c r="F3" s="6">
        <f t="shared" ref="F3:F66" si="0">D3*E3</f>
        <v>17.100000000000001</v>
      </c>
      <c r="G3" s="5"/>
      <c r="H3" s="21" t="s">
        <v>156</v>
      </c>
      <c r="I3" s="4"/>
    </row>
    <row r="4" spans="1:13" ht="15" customHeight="1" x14ac:dyDescent="0.3">
      <c r="A4" s="12" t="s">
        <v>12</v>
      </c>
      <c r="B4" s="23" t="s">
        <v>157</v>
      </c>
      <c r="C4" s="14">
        <v>67473967</v>
      </c>
      <c r="D4" s="7">
        <v>10</v>
      </c>
      <c r="E4" s="7">
        <v>0.47</v>
      </c>
      <c r="F4" s="6">
        <f t="shared" si="0"/>
        <v>4.6999999999999993</v>
      </c>
      <c r="G4" s="5"/>
      <c r="H4" s="20" t="s">
        <v>157</v>
      </c>
    </row>
    <row r="5" spans="1:13" ht="15" customHeight="1" x14ac:dyDescent="0.3">
      <c r="A5" s="13" t="s">
        <v>10</v>
      </c>
      <c r="B5" s="23" t="s">
        <v>158</v>
      </c>
      <c r="C5" s="15">
        <v>99176795</v>
      </c>
      <c r="D5" s="8">
        <v>6</v>
      </c>
      <c r="E5" s="8">
        <v>5.45</v>
      </c>
      <c r="F5" s="6">
        <f t="shared" si="0"/>
        <v>32.700000000000003</v>
      </c>
      <c r="G5" s="5"/>
      <c r="H5" s="21" t="s">
        <v>158</v>
      </c>
      <c r="I5" s="1"/>
    </row>
    <row r="6" spans="1:13" ht="15" customHeight="1" x14ac:dyDescent="0.3">
      <c r="A6" s="12" t="s">
        <v>10</v>
      </c>
      <c r="B6" s="23" t="s">
        <v>159</v>
      </c>
      <c r="C6" s="16" t="s">
        <v>72</v>
      </c>
      <c r="D6" s="7">
        <v>3</v>
      </c>
      <c r="E6" s="7">
        <v>25.94</v>
      </c>
      <c r="F6" s="6">
        <f t="shared" si="0"/>
        <v>77.820000000000007</v>
      </c>
      <c r="G6" s="5"/>
      <c r="H6" s="20" t="s">
        <v>159</v>
      </c>
      <c r="I6" s="4"/>
    </row>
    <row r="7" spans="1:13" ht="15" customHeight="1" x14ac:dyDescent="0.3">
      <c r="A7" s="13" t="s">
        <v>13</v>
      </c>
      <c r="B7" s="23" t="s">
        <v>160</v>
      </c>
      <c r="C7" s="17" t="s">
        <v>73</v>
      </c>
      <c r="D7" s="8">
        <v>3</v>
      </c>
      <c r="E7" s="8">
        <v>10.41</v>
      </c>
      <c r="F7" s="6">
        <f t="shared" si="0"/>
        <v>31.23</v>
      </c>
      <c r="G7" s="5"/>
      <c r="H7" s="21" t="s">
        <v>160</v>
      </c>
      <c r="I7" s="4"/>
      <c r="J7" s="3"/>
      <c r="K7" s="3"/>
    </row>
    <row r="8" spans="1:13" ht="15" customHeight="1" x14ac:dyDescent="0.3">
      <c r="A8" s="12" t="s">
        <v>14</v>
      </c>
      <c r="B8" s="23" t="s">
        <v>161</v>
      </c>
      <c r="C8" s="16" t="s">
        <v>74</v>
      </c>
      <c r="D8" s="7">
        <v>1</v>
      </c>
      <c r="E8" s="7">
        <v>93.93</v>
      </c>
      <c r="F8" s="6">
        <f t="shared" si="0"/>
        <v>93.93</v>
      </c>
      <c r="G8" s="5"/>
      <c r="H8" s="20" t="s">
        <v>161</v>
      </c>
      <c r="I8" s="4"/>
    </row>
    <row r="9" spans="1:13" ht="15" customHeight="1" x14ac:dyDescent="0.3">
      <c r="A9" s="13" t="s">
        <v>15</v>
      </c>
      <c r="B9" s="23" t="s">
        <v>162</v>
      </c>
      <c r="C9" s="17" t="s">
        <v>75</v>
      </c>
      <c r="D9" s="8">
        <v>1</v>
      </c>
      <c r="E9" s="8">
        <v>5.99</v>
      </c>
      <c r="F9" s="6">
        <f t="shared" si="0"/>
        <v>5.99</v>
      </c>
      <c r="G9" s="5"/>
      <c r="H9" s="21" t="s">
        <v>162</v>
      </c>
      <c r="L9" s="4"/>
      <c r="M9" s="4"/>
    </row>
    <row r="10" spans="1:13" ht="15" customHeight="1" x14ac:dyDescent="0.3">
      <c r="A10" s="12" t="s">
        <v>16</v>
      </c>
      <c r="B10" s="23" t="s">
        <v>163</v>
      </c>
      <c r="C10" s="16" t="s">
        <v>76</v>
      </c>
      <c r="D10" s="7">
        <v>1</v>
      </c>
      <c r="E10" s="7">
        <v>41.22</v>
      </c>
      <c r="F10" s="6">
        <f t="shared" si="0"/>
        <v>41.22</v>
      </c>
      <c r="G10" s="5"/>
      <c r="H10" s="20" t="s">
        <v>163</v>
      </c>
    </row>
    <row r="11" spans="1:13" ht="15" customHeight="1" x14ac:dyDescent="0.3">
      <c r="A11" s="13" t="s">
        <v>17</v>
      </c>
      <c r="B11" s="23" t="s">
        <v>164</v>
      </c>
      <c r="C11" s="17" t="s">
        <v>77</v>
      </c>
      <c r="D11" s="8">
        <v>1</v>
      </c>
      <c r="E11" s="8">
        <v>60.89</v>
      </c>
      <c r="F11" s="6">
        <f t="shared" si="0"/>
        <v>60.89</v>
      </c>
      <c r="G11" s="5"/>
      <c r="H11" s="21" t="s">
        <v>164</v>
      </c>
      <c r="I11" s="3"/>
    </row>
    <row r="12" spans="1:13" ht="15" customHeight="1" x14ac:dyDescent="0.3">
      <c r="A12" s="12" t="s">
        <v>18</v>
      </c>
      <c r="B12" s="23"/>
      <c r="C12" s="12" t="s">
        <v>78</v>
      </c>
      <c r="D12" s="7">
        <v>1</v>
      </c>
      <c r="E12" s="7">
        <v>27.83</v>
      </c>
      <c r="F12" s="6">
        <f t="shared" si="0"/>
        <v>27.83</v>
      </c>
      <c r="G12" s="5"/>
      <c r="H12" s="22" t="s">
        <v>78</v>
      </c>
      <c r="I12" s="4"/>
    </row>
    <row r="13" spans="1:13" ht="15" customHeight="1" x14ac:dyDescent="0.3">
      <c r="A13" s="13" t="s">
        <v>19</v>
      </c>
      <c r="B13" s="23" t="s">
        <v>165</v>
      </c>
      <c r="C13" s="18">
        <v>316533</v>
      </c>
      <c r="D13" s="8">
        <v>1</v>
      </c>
      <c r="E13" s="8">
        <v>370</v>
      </c>
      <c r="F13" s="6">
        <f t="shared" si="0"/>
        <v>370</v>
      </c>
      <c r="G13" s="5"/>
      <c r="H13" s="21" t="s">
        <v>165</v>
      </c>
      <c r="I13" s="4"/>
    </row>
    <row r="14" spans="1:13" ht="15" customHeight="1" x14ac:dyDescent="0.3">
      <c r="A14" s="12" t="s">
        <v>20</v>
      </c>
      <c r="B14" s="23" t="s">
        <v>166</v>
      </c>
      <c r="C14" s="16">
        <v>316530</v>
      </c>
      <c r="D14" s="7">
        <v>1</v>
      </c>
      <c r="E14" s="7">
        <v>312</v>
      </c>
      <c r="F14" s="6">
        <f t="shared" si="0"/>
        <v>312</v>
      </c>
      <c r="G14" s="5"/>
      <c r="H14" s="20" t="s">
        <v>166</v>
      </c>
      <c r="I14" s="4"/>
    </row>
    <row r="15" spans="1:13" ht="15" customHeight="1" x14ac:dyDescent="0.3">
      <c r="A15" s="13" t="s">
        <v>21</v>
      </c>
      <c r="B15" s="23" t="s">
        <v>167</v>
      </c>
      <c r="C15" s="18">
        <v>314802</v>
      </c>
      <c r="D15" s="8">
        <v>1</v>
      </c>
      <c r="E15" s="8">
        <v>5.9</v>
      </c>
      <c r="F15" s="6">
        <f t="shared" si="0"/>
        <v>5.9</v>
      </c>
      <c r="G15" s="5"/>
      <c r="H15" s="21" t="s">
        <v>167</v>
      </c>
      <c r="I15" s="4"/>
    </row>
    <row r="16" spans="1:13" ht="15" customHeight="1" x14ac:dyDescent="0.3">
      <c r="A16" s="12" t="s">
        <v>22</v>
      </c>
      <c r="B16" s="23" t="s">
        <v>168</v>
      </c>
      <c r="C16" s="19">
        <v>164598</v>
      </c>
      <c r="D16" s="7">
        <v>1</v>
      </c>
      <c r="E16" s="7">
        <v>1610</v>
      </c>
      <c r="F16" s="6">
        <f t="shared" si="0"/>
        <v>1610</v>
      </c>
      <c r="G16" s="5"/>
      <c r="H16" s="20" t="s">
        <v>168</v>
      </c>
      <c r="I16" s="4"/>
    </row>
    <row r="17" spans="1:9" ht="15" customHeight="1" x14ac:dyDescent="0.3">
      <c r="A17" s="13" t="s">
        <v>23</v>
      </c>
      <c r="B17" s="23" t="s">
        <v>169</v>
      </c>
      <c r="C17" s="13" t="s">
        <v>79</v>
      </c>
      <c r="D17" s="8">
        <v>25</v>
      </c>
      <c r="E17" s="8">
        <v>3.97</v>
      </c>
      <c r="F17" s="6">
        <f t="shared" si="0"/>
        <v>99.25</v>
      </c>
      <c r="G17" s="5"/>
      <c r="H17" s="21" t="s">
        <v>169</v>
      </c>
      <c r="I17" s="4"/>
    </row>
    <row r="18" spans="1:9" ht="15" customHeight="1" x14ac:dyDescent="0.3">
      <c r="A18" s="12" t="s">
        <v>24</v>
      </c>
      <c r="B18" s="23"/>
      <c r="C18" s="12" t="s">
        <v>80</v>
      </c>
      <c r="D18" s="7">
        <v>1</v>
      </c>
      <c r="E18" s="7">
        <v>839.97</v>
      </c>
      <c r="F18" s="6">
        <f t="shared" si="0"/>
        <v>839.97</v>
      </c>
      <c r="G18" s="5"/>
      <c r="H18" s="22" t="s">
        <v>78</v>
      </c>
      <c r="I18" s="4"/>
    </row>
    <row r="19" spans="1:9" ht="15" customHeight="1" x14ac:dyDescent="0.3">
      <c r="A19" s="13" t="s">
        <v>25</v>
      </c>
      <c r="B19" s="23" t="s">
        <v>170</v>
      </c>
      <c r="C19" s="13" t="s">
        <v>81</v>
      </c>
      <c r="D19" s="8">
        <v>2</v>
      </c>
      <c r="E19" s="8">
        <v>14.02</v>
      </c>
      <c r="F19" s="6">
        <f t="shared" si="0"/>
        <v>28.04</v>
      </c>
      <c r="G19" s="5"/>
      <c r="H19" s="21" t="s">
        <v>170</v>
      </c>
      <c r="I19" s="4"/>
    </row>
    <row r="20" spans="1:9" ht="15" customHeight="1" x14ac:dyDescent="0.3">
      <c r="A20" s="12" t="s">
        <v>26</v>
      </c>
      <c r="B20" s="23" t="s">
        <v>171</v>
      </c>
      <c r="C20" s="12" t="s">
        <v>82</v>
      </c>
      <c r="D20" s="7">
        <v>1</v>
      </c>
      <c r="E20" s="7">
        <v>33.58</v>
      </c>
      <c r="F20" s="6">
        <f t="shared" si="0"/>
        <v>33.58</v>
      </c>
      <c r="G20" s="5"/>
      <c r="H20" s="20" t="s">
        <v>171</v>
      </c>
      <c r="I20" s="4"/>
    </row>
    <row r="21" spans="1:9" ht="15" customHeight="1" x14ac:dyDescent="0.3">
      <c r="A21" s="13" t="s">
        <v>27</v>
      </c>
      <c r="B21" s="23" t="s">
        <v>172</v>
      </c>
      <c r="C21" s="13" t="s">
        <v>83</v>
      </c>
      <c r="D21" s="8">
        <v>250</v>
      </c>
      <c r="E21" s="8">
        <v>0.12664</v>
      </c>
      <c r="F21" s="6">
        <f t="shared" si="0"/>
        <v>31.66</v>
      </c>
      <c r="G21" s="5"/>
      <c r="H21" s="21" t="s">
        <v>172</v>
      </c>
      <c r="I21" s="4"/>
    </row>
    <row r="22" spans="1:9" ht="15" customHeight="1" x14ac:dyDescent="0.3">
      <c r="A22" s="12" t="s">
        <v>28</v>
      </c>
      <c r="B22" s="23" t="s">
        <v>173</v>
      </c>
      <c r="C22" s="12" t="s">
        <v>84</v>
      </c>
      <c r="D22" s="7">
        <v>1</v>
      </c>
      <c r="E22" s="7">
        <v>59</v>
      </c>
      <c r="F22" s="6">
        <f t="shared" si="0"/>
        <v>59</v>
      </c>
      <c r="G22" s="5"/>
      <c r="H22" s="20" t="s">
        <v>173</v>
      </c>
      <c r="I22" s="4"/>
    </row>
    <row r="23" spans="1:9" ht="15" customHeight="1" x14ac:dyDescent="0.3">
      <c r="A23" s="13" t="s">
        <v>29</v>
      </c>
      <c r="B23" s="23" t="s">
        <v>174</v>
      </c>
      <c r="C23" s="13">
        <v>7568365</v>
      </c>
      <c r="D23" s="8">
        <v>2</v>
      </c>
      <c r="E23" s="8">
        <v>341.13</v>
      </c>
      <c r="F23" s="6">
        <f t="shared" si="0"/>
        <v>682.26</v>
      </c>
      <c r="G23" s="5"/>
      <c r="H23" s="21" t="s">
        <v>174</v>
      </c>
      <c r="I23" s="4"/>
    </row>
    <row r="24" spans="1:9" ht="15" customHeight="1" x14ac:dyDescent="0.3">
      <c r="A24" s="12" t="s">
        <v>30</v>
      </c>
      <c r="B24" s="23" t="s">
        <v>175</v>
      </c>
      <c r="C24" s="12">
        <v>8323512</v>
      </c>
      <c r="D24" s="7">
        <v>2</v>
      </c>
      <c r="E24" s="7">
        <v>108.02</v>
      </c>
      <c r="F24" s="6">
        <f t="shared" si="0"/>
        <v>216.04</v>
      </c>
      <c r="G24" s="5"/>
      <c r="H24" s="20" t="s">
        <v>175</v>
      </c>
      <c r="I24" s="4"/>
    </row>
    <row r="25" spans="1:9" ht="15" customHeight="1" x14ac:dyDescent="0.3">
      <c r="A25" s="13" t="s">
        <v>28</v>
      </c>
      <c r="B25" s="23" t="s">
        <v>173</v>
      </c>
      <c r="C25" s="13" t="s">
        <v>84</v>
      </c>
      <c r="D25" s="8">
        <v>5</v>
      </c>
      <c r="E25" s="8">
        <v>59</v>
      </c>
      <c r="F25" s="6">
        <f t="shared" si="0"/>
        <v>295</v>
      </c>
      <c r="G25" s="2"/>
      <c r="H25" s="21" t="s">
        <v>173</v>
      </c>
      <c r="I25" s="4"/>
    </row>
    <row r="26" spans="1:9" ht="15" customHeight="1" x14ac:dyDescent="0.3">
      <c r="A26" s="12" t="s">
        <v>31</v>
      </c>
      <c r="B26" s="23" t="s">
        <v>176</v>
      </c>
      <c r="C26" s="12" t="s">
        <v>85</v>
      </c>
      <c r="D26" s="7">
        <v>4</v>
      </c>
      <c r="E26" s="7">
        <v>20.99</v>
      </c>
      <c r="F26" s="6">
        <f t="shared" si="0"/>
        <v>83.96</v>
      </c>
      <c r="G26" s="2"/>
      <c r="H26" s="20" t="s">
        <v>176</v>
      </c>
      <c r="I26" s="2"/>
    </row>
    <row r="27" spans="1:9" ht="15" customHeight="1" x14ac:dyDescent="0.3">
      <c r="A27" s="13" t="s">
        <v>17</v>
      </c>
      <c r="B27" s="23" t="s">
        <v>177</v>
      </c>
      <c r="C27" s="17" t="s">
        <v>86</v>
      </c>
      <c r="D27" s="8">
        <v>4</v>
      </c>
      <c r="E27" s="8">
        <v>7.46</v>
      </c>
      <c r="F27" s="6">
        <f t="shared" si="0"/>
        <v>29.84</v>
      </c>
      <c r="G27" s="2"/>
      <c r="H27" s="21" t="s">
        <v>177</v>
      </c>
    </row>
    <row r="28" spans="1:9" ht="15" customHeight="1" x14ac:dyDescent="0.3">
      <c r="A28" s="12" t="s">
        <v>32</v>
      </c>
      <c r="B28" s="23" t="s">
        <v>178</v>
      </c>
      <c r="C28" s="16" t="s">
        <v>87</v>
      </c>
      <c r="D28" s="7">
        <v>4</v>
      </c>
      <c r="E28" s="7">
        <v>13.23</v>
      </c>
      <c r="F28" s="6">
        <f t="shared" si="0"/>
        <v>52.92</v>
      </c>
      <c r="H28" s="20" t="s">
        <v>178</v>
      </c>
    </row>
    <row r="29" spans="1:9" ht="15" customHeight="1" x14ac:dyDescent="0.3">
      <c r="A29" s="13" t="s">
        <v>33</v>
      </c>
      <c r="B29" s="23" t="s">
        <v>179</v>
      </c>
      <c r="C29" s="13" t="s">
        <v>88</v>
      </c>
      <c r="D29" s="8">
        <v>4</v>
      </c>
      <c r="E29" s="8">
        <v>12.78</v>
      </c>
      <c r="F29" s="6">
        <f t="shared" si="0"/>
        <v>51.12</v>
      </c>
      <c r="H29" s="21" t="s">
        <v>179</v>
      </c>
    </row>
    <row r="30" spans="1:9" ht="15" customHeight="1" x14ac:dyDescent="0.3">
      <c r="A30" s="12" t="s">
        <v>34</v>
      </c>
      <c r="B30" s="23" t="s">
        <v>180</v>
      </c>
      <c r="C30" s="16" t="s">
        <v>89</v>
      </c>
      <c r="D30" s="7">
        <v>4</v>
      </c>
      <c r="E30" s="7">
        <v>9.99</v>
      </c>
      <c r="F30" s="6">
        <f t="shared" si="0"/>
        <v>39.96</v>
      </c>
      <c r="H30" s="20" t="s">
        <v>180</v>
      </c>
    </row>
    <row r="31" spans="1:9" x14ac:dyDescent="0.3">
      <c r="A31" s="13" t="s">
        <v>35</v>
      </c>
      <c r="B31" s="23" t="s">
        <v>181</v>
      </c>
      <c r="C31" s="17" t="s">
        <v>90</v>
      </c>
      <c r="D31" s="8">
        <v>4</v>
      </c>
      <c r="E31" s="8">
        <v>22.34</v>
      </c>
      <c r="F31" s="6">
        <f t="shared" si="0"/>
        <v>89.36</v>
      </c>
      <c r="H31" s="21" t="s">
        <v>181</v>
      </c>
    </row>
    <row r="32" spans="1:9" x14ac:dyDescent="0.3">
      <c r="A32" s="12" t="s">
        <v>35</v>
      </c>
      <c r="B32" s="23" t="s">
        <v>182</v>
      </c>
      <c r="C32" s="16" t="s">
        <v>91</v>
      </c>
      <c r="D32" s="7">
        <v>4</v>
      </c>
      <c r="E32" s="7">
        <v>16.89</v>
      </c>
      <c r="F32" s="6">
        <f t="shared" si="0"/>
        <v>67.56</v>
      </c>
      <c r="H32" s="20" t="s">
        <v>182</v>
      </c>
    </row>
    <row r="33" spans="1:8" x14ac:dyDescent="0.3">
      <c r="A33" s="13" t="s">
        <v>36</v>
      </c>
      <c r="B33" s="23" t="s">
        <v>183</v>
      </c>
      <c r="C33" s="17" t="s">
        <v>92</v>
      </c>
      <c r="D33" s="8">
        <v>2</v>
      </c>
      <c r="E33" s="8">
        <v>21.79</v>
      </c>
      <c r="F33" s="6">
        <f t="shared" si="0"/>
        <v>43.58</v>
      </c>
      <c r="H33" s="21" t="s">
        <v>183</v>
      </c>
    </row>
    <row r="34" spans="1:8" x14ac:dyDescent="0.3">
      <c r="A34" s="12" t="s">
        <v>36</v>
      </c>
      <c r="B34" s="23" t="s">
        <v>184</v>
      </c>
      <c r="C34" s="16" t="s">
        <v>93</v>
      </c>
      <c r="D34" s="7">
        <v>2</v>
      </c>
      <c r="E34" s="7">
        <v>19.86</v>
      </c>
      <c r="F34" s="6">
        <f t="shared" si="0"/>
        <v>39.72</v>
      </c>
      <c r="H34" s="20" t="s">
        <v>184</v>
      </c>
    </row>
    <row r="35" spans="1:8" x14ac:dyDescent="0.3">
      <c r="A35" s="13" t="s">
        <v>37</v>
      </c>
      <c r="B35" s="23" t="s">
        <v>185</v>
      </c>
      <c r="C35" s="17" t="s">
        <v>94</v>
      </c>
      <c r="D35" s="8">
        <v>1</v>
      </c>
      <c r="E35" s="8">
        <v>36.979999999999997</v>
      </c>
      <c r="F35" s="6">
        <f t="shared" si="0"/>
        <v>36.979999999999997</v>
      </c>
      <c r="H35" s="21" t="s">
        <v>185</v>
      </c>
    </row>
    <row r="36" spans="1:8" x14ac:dyDescent="0.3">
      <c r="A36" s="12" t="s">
        <v>37</v>
      </c>
      <c r="B36" s="23" t="s">
        <v>186</v>
      </c>
      <c r="C36" s="16" t="s">
        <v>95</v>
      </c>
      <c r="D36" s="7">
        <v>1</v>
      </c>
      <c r="E36" s="7">
        <v>26.2</v>
      </c>
      <c r="F36" s="6">
        <f t="shared" si="0"/>
        <v>26.2</v>
      </c>
      <c r="H36" s="20" t="s">
        <v>186</v>
      </c>
    </row>
    <row r="37" spans="1:8" x14ac:dyDescent="0.3">
      <c r="A37" s="13" t="s">
        <v>35</v>
      </c>
      <c r="B37" s="23" t="s">
        <v>187</v>
      </c>
      <c r="C37" s="17" t="s">
        <v>96</v>
      </c>
      <c r="D37" s="8">
        <v>4</v>
      </c>
      <c r="E37" s="8">
        <v>19.22</v>
      </c>
      <c r="F37" s="6">
        <f t="shared" si="0"/>
        <v>76.88</v>
      </c>
      <c r="H37" s="21" t="s">
        <v>187</v>
      </c>
    </row>
    <row r="38" spans="1:8" x14ac:dyDescent="0.3">
      <c r="A38" s="12" t="s">
        <v>38</v>
      </c>
      <c r="B38" s="23" t="s">
        <v>188</v>
      </c>
      <c r="C38" s="16" t="s">
        <v>97</v>
      </c>
      <c r="D38" s="7">
        <v>6</v>
      </c>
      <c r="E38" s="7">
        <v>2.48</v>
      </c>
      <c r="F38" s="6">
        <f t="shared" si="0"/>
        <v>14.879999999999999</v>
      </c>
      <c r="H38" s="20" t="s">
        <v>188</v>
      </c>
    </row>
    <row r="39" spans="1:8" x14ac:dyDescent="0.3">
      <c r="A39" s="13" t="s">
        <v>38</v>
      </c>
      <c r="B39" s="23" t="s">
        <v>189</v>
      </c>
      <c r="C39" s="17" t="s">
        <v>98</v>
      </c>
      <c r="D39" s="8">
        <v>6</v>
      </c>
      <c r="E39" s="8">
        <v>3.21</v>
      </c>
      <c r="F39" s="6">
        <f t="shared" si="0"/>
        <v>19.259999999999998</v>
      </c>
      <c r="H39" s="21" t="s">
        <v>189</v>
      </c>
    </row>
    <row r="40" spans="1:8" x14ac:dyDescent="0.3">
      <c r="A40" s="12" t="s">
        <v>12</v>
      </c>
      <c r="B40" s="23" t="s">
        <v>190</v>
      </c>
      <c r="C40" s="16" t="s">
        <v>99</v>
      </c>
      <c r="D40" s="7">
        <v>1</v>
      </c>
      <c r="E40" s="7">
        <v>16.010000000000002</v>
      </c>
      <c r="F40" s="6">
        <f t="shared" si="0"/>
        <v>16.010000000000002</v>
      </c>
      <c r="H40" s="20" t="s">
        <v>190</v>
      </c>
    </row>
    <row r="41" spans="1:8" x14ac:dyDescent="0.3">
      <c r="A41" s="13" t="s">
        <v>39</v>
      </c>
      <c r="B41" s="23" t="s">
        <v>248</v>
      </c>
      <c r="C41" s="17" t="s">
        <v>100</v>
      </c>
      <c r="D41" s="8">
        <v>3</v>
      </c>
      <c r="E41" s="8">
        <v>7.55</v>
      </c>
      <c r="F41" s="6">
        <f t="shared" si="0"/>
        <v>22.65</v>
      </c>
      <c r="H41" s="21" t="s">
        <v>191</v>
      </c>
    </row>
    <row r="42" spans="1:8" x14ac:dyDescent="0.3">
      <c r="A42" s="12" t="s">
        <v>40</v>
      </c>
      <c r="B42" s="23" t="s">
        <v>192</v>
      </c>
      <c r="C42" s="16" t="s">
        <v>101</v>
      </c>
      <c r="D42" s="7">
        <v>12</v>
      </c>
      <c r="E42" s="7">
        <v>3.55</v>
      </c>
      <c r="F42" s="6">
        <f t="shared" si="0"/>
        <v>42.599999999999994</v>
      </c>
      <c r="H42" s="20" t="s">
        <v>192</v>
      </c>
    </row>
    <row r="43" spans="1:8" x14ac:dyDescent="0.3">
      <c r="A43" s="13" t="s">
        <v>41</v>
      </c>
      <c r="B43" s="23" t="s">
        <v>193</v>
      </c>
      <c r="C43" s="17" t="s">
        <v>102</v>
      </c>
      <c r="D43" s="8">
        <v>1</v>
      </c>
      <c r="E43" s="8">
        <v>50.51</v>
      </c>
      <c r="F43" s="6">
        <f t="shared" si="0"/>
        <v>50.51</v>
      </c>
      <c r="H43" s="21" t="s">
        <v>193</v>
      </c>
    </row>
    <row r="44" spans="1:8" x14ac:dyDescent="0.3">
      <c r="A44" s="12" t="s">
        <v>42</v>
      </c>
      <c r="B44" s="23" t="s">
        <v>194</v>
      </c>
      <c r="C44" s="16" t="s">
        <v>103</v>
      </c>
      <c r="D44" s="7">
        <v>1</v>
      </c>
      <c r="E44" s="7">
        <v>24.17</v>
      </c>
      <c r="F44" s="6">
        <f t="shared" si="0"/>
        <v>24.17</v>
      </c>
      <c r="H44" s="20" t="s">
        <v>194</v>
      </c>
    </row>
    <row r="45" spans="1:8" x14ac:dyDescent="0.3">
      <c r="A45" s="13" t="s">
        <v>43</v>
      </c>
      <c r="B45" s="23" t="s">
        <v>195</v>
      </c>
      <c r="C45" s="17" t="s">
        <v>104</v>
      </c>
      <c r="D45" s="8">
        <v>1</v>
      </c>
      <c r="E45" s="8">
        <v>26.01</v>
      </c>
      <c r="F45" s="6">
        <f t="shared" si="0"/>
        <v>26.01</v>
      </c>
      <c r="H45" s="21" t="s">
        <v>195</v>
      </c>
    </row>
    <row r="46" spans="1:8" x14ac:dyDescent="0.3">
      <c r="A46" s="12" t="s">
        <v>44</v>
      </c>
      <c r="B46" s="23" t="s">
        <v>196</v>
      </c>
      <c r="C46" s="16" t="s">
        <v>105</v>
      </c>
      <c r="D46" s="7">
        <v>1</v>
      </c>
      <c r="E46" s="7">
        <v>16.82</v>
      </c>
      <c r="F46" s="6">
        <f t="shared" si="0"/>
        <v>16.82</v>
      </c>
      <c r="H46" s="20" t="s">
        <v>196</v>
      </c>
    </row>
    <row r="47" spans="1:8" x14ac:dyDescent="0.3">
      <c r="A47" s="13" t="s">
        <v>45</v>
      </c>
      <c r="B47" s="23" t="s">
        <v>197</v>
      </c>
      <c r="C47" s="17" t="s">
        <v>106</v>
      </c>
      <c r="D47" s="8">
        <v>2</v>
      </c>
      <c r="E47" s="8">
        <v>25.17</v>
      </c>
      <c r="F47" s="6">
        <f t="shared" si="0"/>
        <v>50.34</v>
      </c>
      <c r="H47" s="21" t="s">
        <v>197</v>
      </c>
    </row>
    <row r="48" spans="1:8" x14ac:dyDescent="0.3">
      <c r="A48" s="12" t="s">
        <v>45</v>
      </c>
      <c r="B48" s="23" t="s">
        <v>198</v>
      </c>
      <c r="C48" s="16" t="s">
        <v>107</v>
      </c>
      <c r="D48" s="7">
        <v>2</v>
      </c>
      <c r="E48" s="7">
        <v>12.5</v>
      </c>
      <c r="F48" s="6">
        <f t="shared" si="0"/>
        <v>25</v>
      </c>
      <c r="H48" s="20" t="s">
        <v>198</v>
      </c>
    </row>
    <row r="49" spans="1:8" x14ac:dyDescent="0.3">
      <c r="A49" s="13" t="s">
        <v>46</v>
      </c>
      <c r="B49" s="23" t="s">
        <v>199</v>
      </c>
      <c r="C49" s="17" t="s">
        <v>108</v>
      </c>
      <c r="D49" s="8">
        <v>1</v>
      </c>
      <c r="E49" s="8">
        <v>28.56</v>
      </c>
      <c r="F49" s="6">
        <f t="shared" si="0"/>
        <v>28.56</v>
      </c>
      <c r="H49" s="21" t="s">
        <v>199</v>
      </c>
    </row>
    <row r="50" spans="1:8" x14ac:dyDescent="0.3">
      <c r="A50" s="12" t="s">
        <v>47</v>
      </c>
      <c r="B50" s="23" t="s">
        <v>200</v>
      </c>
      <c r="C50" s="16" t="s">
        <v>109</v>
      </c>
      <c r="D50" s="7">
        <v>5</v>
      </c>
      <c r="E50" s="7">
        <v>3.35</v>
      </c>
      <c r="F50" s="6">
        <f t="shared" si="0"/>
        <v>16.75</v>
      </c>
      <c r="H50" s="20" t="s">
        <v>200</v>
      </c>
    </row>
    <row r="51" spans="1:8" x14ac:dyDescent="0.3">
      <c r="A51" s="13" t="s">
        <v>46</v>
      </c>
      <c r="B51" s="23" t="s">
        <v>201</v>
      </c>
      <c r="C51" s="17" t="s">
        <v>110</v>
      </c>
      <c r="D51" s="8">
        <v>1</v>
      </c>
      <c r="E51" s="8">
        <v>14.81</v>
      </c>
      <c r="F51" s="6">
        <f t="shared" si="0"/>
        <v>14.81</v>
      </c>
      <c r="H51" s="21" t="s">
        <v>201</v>
      </c>
    </row>
    <row r="52" spans="1:8" x14ac:dyDescent="0.3">
      <c r="A52" s="12" t="s">
        <v>46</v>
      </c>
      <c r="B52" s="23" t="s">
        <v>202</v>
      </c>
      <c r="C52" s="16" t="s">
        <v>111</v>
      </c>
      <c r="D52" s="7">
        <v>1</v>
      </c>
      <c r="E52" s="7">
        <v>19.989999999999998</v>
      </c>
      <c r="F52" s="6">
        <f t="shared" si="0"/>
        <v>19.989999999999998</v>
      </c>
      <c r="H52" s="20" t="s">
        <v>202</v>
      </c>
    </row>
    <row r="53" spans="1:8" x14ac:dyDescent="0.3">
      <c r="A53" s="13" t="s">
        <v>48</v>
      </c>
      <c r="B53" s="23" t="s">
        <v>203</v>
      </c>
      <c r="C53" s="17" t="s">
        <v>112</v>
      </c>
      <c r="D53" s="8">
        <v>5</v>
      </c>
      <c r="E53" s="8">
        <v>5.36</v>
      </c>
      <c r="F53" s="6">
        <f t="shared" si="0"/>
        <v>26.8</v>
      </c>
      <c r="H53" s="21" t="s">
        <v>203</v>
      </c>
    </row>
    <row r="54" spans="1:8" x14ac:dyDescent="0.3">
      <c r="A54" s="12" t="s">
        <v>49</v>
      </c>
      <c r="B54" s="23" t="s">
        <v>204</v>
      </c>
      <c r="C54" s="16" t="s">
        <v>113</v>
      </c>
      <c r="D54" s="7">
        <v>1</v>
      </c>
      <c r="E54" s="7">
        <v>40.14</v>
      </c>
      <c r="F54" s="6">
        <f t="shared" si="0"/>
        <v>40.14</v>
      </c>
      <c r="H54" s="20" t="s">
        <v>204</v>
      </c>
    </row>
    <row r="55" spans="1:8" x14ac:dyDescent="0.3">
      <c r="A55" s="13" t="s">
        <v>50</v>
      </c>
      <c r="B55" s="23" t="s">
        <v>205</v>
      </c>
      <c r="C55" s="13" t="s">
        <v>78</v>
      </c>
      <c r="D55" s="8">
        <v>1</v>
      </c>
      <c r="E55" s="8">
        <v>300</v>
      </c>
      <c r="F55" s="6">
        <f t="shared" si="0"/>
        <v>300</v>
      </c>
      <c r="H55" s="21" t="s">
        <v>205</v>
      </c>
    </row>
    <row r="56" spans="1:8" x14ac:dyDescent="0.3">
      <c r="A56" s="12" t="s">
        <v>35</v>
      </c>
      <c r="B56" s="23" t="s">
        <v>206</v>
      </c>
      <c r="C56" s="16" t="s">
        <v>114</v>
      </c>
      <c r="D56" s="7">
        <v>6</v>
      </c>
      <c r="E56" s="7">
        <v>11.53</v>
      </c>
      <c r="F56" s="6">
        <f t="shared" si="0"/>
        <v>69.179999999999993</v>
      </c>
      <c r="H56" s="20" t="s">
        <v>206</v>
      </c>
    </row>
    <row r="57" spans="1:8" x14ac:dyDescent="0.3">
      <c r="A57" s="13" t="s">
        <v>48</v>
      </c>
      <c r="B57" s="23" t="s">
        <v>207</v>
      </c>
      <c r="C57" s="17" t="s">
        <v>115</v>
      </c>
      <c r="D57" s="8">
        <v>2</v>
      </c>
      <c r="E57" s="8">
        <v>4.75</v>
      </c>
      <c r="F57" s="6">
        <f t="shared" si="0"/>
        <v>9.5</v>
      </c>
      <c r="H57" s="21" t="s">
        <v>207</v>
      </c>
    </row>
    <row r="58" spans="1:8" x14ac:dyDescent="0.3">
      <c r="A58" s="12" t="s">
        <v>39</v>
      </c>
      <c r="B58" s="23" t="s">
        <v>208</v>
      </c>
      <c r="C58" s="16" t="s">
        <v>116</v>
      </c>
      <c r="D58" s="7">
        <v>1</v>
      </c>
      <c r="E58" s="7">
        <v>5.41</v>
      </c>
      <c r="F58" s="6">
        <f t="shared" si="0"/>
        <v>5.41</v>
      </c>
      <c r="H58" s="20" t="s">
        <v>208</v>
      </c>
    </row>
    <row r="59" spans="1:8" x14ac:dyDescent="0.3">
      <c r="A59" s="13" t="s">
        <v>12</v>
      </c>
      <c r="B59" s="23" t="s">
        <v>209</v>
      </c>
      <c r="C59" s="17" t="s">
        <v>117</v>
      </c>
      <c r="D59" s="8">
        <v>1</v>
      </c>
      <c r="E59" s="8">
        <v>9.0299999999999994</v>
      </c>
      <c r="F59" s="6">
        <f t="shared" si="0"/>
        <v>9.0299999999999994</v>
      </c>
      <c r="H59" s="21" t="s">
        <v>209</v>
      </c>
    </row>
    <row r="60" spans="1:8" x14ac:dyDescent="0.3">
      <c r="A60" s="12" t="s">
        <v>51</v>
      </c>
      <c r="B60" s="23" t="s">
        <v>210</v>
      </c>
      <c r="C60" s="16" t="s">
        <v>118</v>
      </c>
      <c r="D60" s="7">
        <v>1</v>
      </c>
      <c r="E60" s="7">
        <v>16.87</v>
      </c>
      <c r="F60" s="6">
        <f t="shared" si="0"/>
        <v>16.87</v>
      </c>
      <c r="H60" s="20" t="s">
        <v>210</v>
      </c>
    </row>
    <row r="61" spans="1:8" x14ac:dyDescent="0.3">
      <c r="A61" s="13" t="s">
        <v>46</v>
      </c>
      <c r="B61" s="23" t="s">
        <v>211</v>
      </c>
      <c r="C61" s="17" t="s">
        <v>119</v>
      </c>
      <c r="D61" s="8">
        <v>1</v>
      </c>
      <c r="E61" s="8">
        <v>14.02</v>
      </c>
      <c r="F61" s="6">
        <f t="shared" si="0"/>
        <v>14.02</v>
      </c>
      <c r="H61" s="21" t="s">
        <v>211</v>
      </c>
    </row>
    <row r="62" spans="1:8" x14ac:dyDescent="0.3">
      <c r="A62" s="12" t="s">
        <v>52</v>
      </c>
      <c r="B62" s="23" t="s">
        <v>212</v>
      </c>
      <c r="C62" s="16" t="s">
        <v>120</v>
      </c>
      <c r="D62" s="7">
        <v>1</v>
      </c>
      <c r="E62" s="7">
        <v>8.83</v>
      </c>
      <c r="F62" s="6">
        <f t="shared" si="0"/>
        <v>8.83</v>
      </c>
      <c r="H62" s="20" t="s">
        <v>212</v>
      </c>
    </row>
    <row r="63" spans="1:8" x14ac:dyDescent="0.3">
      <c r="A63" s="13" t="s">
        <v>52</v>
      </c>
      <c r="B63" s="23" t="s">
        <v>213</v>
      </c>
      <c r="C63" s="17" t="s">
        <v>121</v>
      </c>
      <c r="D63" s="8">
        <v>1</v>
      </c>
      <c r="E63" s="8">
        <v>7.19</v>
      </c>
      <c r="F63" s="6">
        <f t="shared" si="0"/>
        <v>7.19</v>
      </c>
      <c r="H63" s="21" t="s">
        <v>213</v>
      </c>
    </row>
    <row r="64" spans="1:8" x14ac:dyDescent="0.3">
      <c r="A64" s="12" t="s">
        <v>48</v>
      </c>
      <c r="B64" s="23" t="s">
        <v>214</v>
      </c>
      <c r="C64" s="16" t="s">
        <v>122</v>
      </c>
      <c r="D64" s="7">
        <v>4</v>
      </c>
      <c r="E64" s="7">
        <v>2.76</v>
      </c>
      <c r="F64" s="6">
        <f t="shared" si="0"/>
        <v>11.04</v>
      </c>
      <c r="H64" s="20" t="s">
        <v>214</v>
      </c>
    </row>
    <row r="65" spans="1:8" x14ac:dyDescent="0.3">
      <c r="A65" s="13" t="s">
        <v>45</v>
      </c>
      <c r="B65" s="23" t="s">
        <v>215</v>
      </c>
      <c r="C65" s="17" t="s">
        <v>123</v>
      </c>
      <c r="D65" s="8">
        <v>2</v>
      </c>
      <c r="E65" s="8">
        <v>3.49</v>
      </c>
      <c r="F65" s="6">
        <f t="shared" si="0"/>
        <v>6.98</v>
      </c>
      <c r="H65" s="21" t="s">
        <v>215</v>
      </c>
    </row>
    <row r="66" spans="1:8" x14ac:dyDescent="0.3">
      <c r="A66" s="12" t="s">
        <v>37</v>
      </c>
      <c r="B66" s="23" t="s">
        <v>216</v>
      </c>
      <c r="C66" s="16" t="s">
        <v>124</v>
      </c>
      <c r="D66" s="7">
        <v>1</v>
      </c>
      <c r="E66" s="7">
        <v>42.76</v>
      </c>
      <c r="F66" s="6">
        <f t="shared" si="0"/>
        <v>42.76</v>
      </c>
      <c r="H66" s="20" t="s">
        <v>216</v>
      </c>
    </row>
    <row r="67" spans="1:8" x14ac:dyDescent="0.3">
      <c r="A67" s="13" t="s">
        <v>53</v>
      </c>
      <c r="B67" s="23" t="s">
        <v>217</v>
      </c>
      <c r="C67" s="17" t="s">
        <v>125</v>
      </c>
      <c r="D67" s="8">
        <v>1</v>
      </c>
      <c r="E67" s="8">
        <v>45.81</v>
      </c>
      <c r="F67" s="6">
        <f t="shared" ref="F67:F103" si="1">D67*E67</f>
        <v>45.81</v>
      </c>
      <c r="H67" s="21" t="s">
        <v>217</v>
      </c>
    </row>
    <row r="68" spans="1:8" x14ac:dyDescent="0.3">
      <c r="A68" s="12" t="s">
        <v>45</v>
      </c>
      <c r="B68" s="23" t="s">
        <v>218</v>
      </c>
      <c r="C68" s="16" t="s">
        <v>126</v>
      </c>
      <c r="D68" s="7">
        <v>1</v>
      </c>
      <c r="E68" s="7">
        <v>18.73</v>
      </c>
      <c r="F68" s="6">
        <f t="shared" si="1"/>
        <v>18.73</v>
      </c>
      <c r="H68" s="20" t="s">
        <v>218</v>
      </c>
    </row>
    <row r="69" spans="1:8" x14ac:dyDescent="0.3">
      <c r="A69" s="13" t="s">
        <v>54</v>
      </c>
      <c r="B69" s="23" t="s">
        <v>219</v>
      </c>
      <c r="C69" s="17" t="s">
        <v>127</v>
      </c>
      <c r="D69" s="8">
        <v>1</v>
      </c>
      <c r="E69" s="8">
        <v>4.99</v>
      </c>
      <c r="F69" s="6">
        <f t="shared" si="1"/>
        <v>4.99</v>
      </c>
      <c r="H69" s="21" t="s">
        <v>219</v>
      </c>
    </row>
    <row r="70" spans="1:8" x14ac:dyDescent="0.3">
      <c r="A70" s="12" t="s">
        <v>54</v>
      </c>
      <c r="B70" s="23" t="s">
        <v>220</v>
      </c>
      <c r="C70" s="16" t="s">
        <v>128</v>
      </c>
      <c r="D70" s="7">
        <v>1</v>
      </c>
      <c r="E70" s="7">
        <v>4.68</v>
      </c>
      <c r="F70" s="6">
        <f t="shared" si="1"/>
        <v>4.68</v>
      </c>
      <c r="H70" s="20" t="s">
        <v>220</v>
      </c>
    </row>
    <row r="71" spans="1:8" x14ac:dyDescent="0.3">
      <c r="A71" s="13" t="s">
        <v>55</v>
      </c>
      <c r="B71" s="23" t="s">
        <v>221</v>
      </c>
      <c r="C71" s="17" t="s">
        <v>129</v>
      </c>
      <c r="D71" s="8">
        <v>1</v>
      </c>
      <c r="E71" s="8">
        <v>39.72</v>
      </c>
      <c r="F71" s="6">
        <f t="shared" si="1"/>
        <v>39.72</v>
      </c>
      <c r="H71" s="21" t="s">
        <v>221</v>
      </c>
    </row>
    <row r="72" spans="1:8" x14ac:dyDescent="0.3">
      <c r="A72" s="12" t="s">
        <v>46</v>
      </c>
      <c r="B72" s="23" t="s">
        <v>222</v>
      </c>
      <c r="C72" s="16" t="s">
        <v>130</v>
      </c>
      <c r="D72" s="7">
        <v>1</v>
      </c>
      <c r="E72" s="7">
        <v>15.07</v>
      </c>
      <c r="F72" s="6">
        <f t="shared" si="1"/>
        <v>15.07</v>
      </c>
      <c r="H72" s="20" t="s">
        <v>222</v>
      </c>
    </row>
    <row r="73" spans="1:8" x14ac:dyDescent="0.3">
      <c r="A73" s="13" t="s">
        <v>56</v>
      </c>
      <c r="B73" s="23" t="s">
        <v>223</v>
      </c>
      <c r="C73" s="17" t="s">
        <v>131</v>
      </c>
      <c r="D73" s="8">
        <v>1</v>
      </c>
      <c r="E73" s="8">
        <v>45.58</v>
      </c>
      <c r="F73" s="6">
        <f t="shared" si="1"/>
        <v>45.58</v>
      </c>
      <c r="H73" s="21" t="s">
        <v>223</v>
      </c>
    </row>
    <row r="74" spans="1:8" x14ac:dyDescent="0.3">
      <c r="A74" s="12" t="s">
        <v>57</v>
      </c>
      <c r="B74" s="23" t="s">
        <v>224</v>
      </c>
      <c r="C74" s="16" t="s">
        <v>132</v>
      </c>
      <c r="D74" s="7">
        <v>1</v>
      </c>
      <c r="E74" s="7">
        <v>6.43</v>
      </c>
      <c r="F74" s="6">
        <f t="shared" si="1"/>
        <v>6.43</v>
      </c>
      <c r="H74" s="20" t="s">
        <v>224</v>
      </c>
    </row>
    <row r="75" spans="1:8" x14ac:dyDescent="0.3">
      <c r="A75" s="13" t="s">
        <v>11</v>
      </c>
      <c r="B75" s="23" t="s">
        <v>225</v>
      </c>
      <c r="C75" s="17" t="s">
        <v>133</v>
      </c>
      <c r="D75" s="8">
        <v>1</v>
      </c>
      <c r="E75" s="8">
        <v>26.5</v>
      </c>
      <c r="F75" s="6">
        <f t="shared" si="1"/>
        <v>26.5</v>
      </c>
      <c r="H75" s="21" t="s">
        <v>225</v>
      </c>
    </row>
    <row r="76" spans="1:8" x14ac:dyDescent="0.3">
      <c r="A76" s="12" t="s">
        <v>58</v>
      </c>
      <c r="B76" s="23" t="s">
        <v>226</v>
      </c>
      <c r="C76" s="12" t="s">
        <v>134</v>
      </c>
      <c r="D76" s="7">
        <v>2</v>
      </c>
      <c r="E76" s="7">
        <v>12.8</v>
      </c>
      <c r="F76" s="6">
        <f t="shared" si="1"/>
        <v>25.6</v>
      </c>
      <c r="H76" s="20" t="s">
        <v>226</v>
      </c>
    </row>
    <row r="77" spans="1:8" x14ac:dyDescent="0.3">
      <c r="A77" s="13" t="s">
        <v>46</v>
      </c>
      <c r="B77" s="23" t="s">
        <v>227</v>
      </c>
      <c r="C77" s="17" t="s">
        <v>135</v>
      </c>
      <c r="D77" s="8">
        <v>1</v>
      </c>
      <c r="E77" s="8">
        <v>14.16</v>
      </c>
      <c r="F77" s="6">
        <f t="shared" si="1"/>
        <v>14.16</v>
      </c>
      <c r="H77" s="21" t="s">
        <v>227</v>
      </c>
    </row>
    <row r="78" spans="1:8" x14ac:dyDescent="0.3">
      <c r="A78" s="12" t="s">
        <v>39</v>
      </c>
      <c r="B78" s="23" t="s">
        <v>228</v>
      </c>
      <c r="C78" s="16" t="s">
        <v>136</v>
      </c>
      <c r="D78" s="7">
        <v>5</v>
      </c>
      <c r="E78" s="7">
        <v>6.98</v>
      </c>
      <c r="F78" s="6">
        <f t="shared" si="1"/>
        <v>34.900000000000006</v>
      </c>
      <c r="H78" s="20" t="s">
        <v>228</v>
      </c>
    </row>
    <row r="79" spans="1:8" x14ac:dyDescent="0.3">
      <c r="A79" s="13" t="s">
        <v>59</v>
      </c>
      <c r="B79" s="23" t="s">
        <v>229</v>
      </c>
      <c r="C79" s="17" t="s">
        <v>137</v>
      </c>
      <c r="D79" s="8">
        <v>1</v>
      </c>
      <c r="E79" s="8">
        <v>3.76</v>
      </c>
      <c r="F79" s="6">
        <f t="shared" si="1"/>
        <v>3.76</v>
      </c>
      <c r="H79" s="21" t="s">
        <v>229</v>
      </c>
    </row>
    <row r="80" spans="1:8" x14ac:dyDescent="0.3">
      <c r="A80" s="12" t="s">
        <v>60</v>
      </c>
      <c r="B80" s="23" t="s">
        <v>230</v>
      </c>
      <c r="C80" s="16" t="s">
        <v>138</v>
      </c>
      <c r="D80" s="7">
        <v>1</v>
      </c>
      <c r="E80" s="7">
        <v>4.72</v>
      </c>
      <c r="F80" s="6">
        <f t="shared" si="1"/>
        <v>4.72</v>
      </c>
      <c r="H80" s="20" t="s">
        <v>230</v>
      </c>
    </row>
    <row r="81" spans="1:8" x14ac:dyDescent="0.3">
      <c r="A81" s="13" t="s">
        <v>61</v>
      </c>
      <c r="B81" s="23" t="s">
        <v>231</v>
      </c>
      <c r="C81" s="17" t="s">
        <v>139</v>
      </c>
      <c r="D81" s="8">
        <v>2</v>
      </c>
      <c r="E81" s="8">
        <v>61.04</v>
      </c>
      <c r="F81" s="6">
        <f t="shared" si="1"/>
        <v>122.08</v>
      </c>
      <c r="H81" s="21" t="s">
        <v>231</v>
      </c>
    </row>
    <row r="82" spans="1:8" x14ac:dyDescent="0.3">
      <c r="A82" s="12" t="s">
        <v>62</v>
      </c>
      <c r="B82" s="23" t="s">
        <v>232</v>
      </c>
      <c r="C82" s="16" t="s">
        <v>140</v>
      </c>
      <c r="D82" s="7">
        <v>1</v>
      </c>
      <c r="E82" s="7">
        <v>382.26</v>
      </c>
      <c r="F82" s="6">
        <f t="shared" si="1"/>
        <v>382.26</v>
      </c>
      <c r="H82" s="20" t="s">
        <v>232</v>
      </c>
    </row>
    <row r="83" spans="1:8" x14ac:dyDescent="0.3">
      <c r="A83" s="13" t="s">
        <v>63</v>
      </c>
      <c r="B83" s="23" t="s">
        <v>233</v>
      </c>
      <c r="C83" s="17" t="s">
        <v>141</v>
      </c>
      <c r="D83" s="8">
        <v>2</v>
      </c>
      <c r="E83" s="8">
        <v>47.78</v>
      </c>
      <c r="F83" s="6">
        <f t="shared" si="1"/>
        <v>95.56</v>
      </c>
      <c r="H83" s="21" t="s">
        <v>233</v>
      </c>
    </row>
    <row r="84" spans="1:8" x14ac:dyDescent="0.3">
      <c r="A84" s="12" t="s">
        <v>64</v>
      </c>
      <c r="B84" s="23" t="s">
        <v>234</v>
      </c>
      <c r="C84" s="16" t="s">
        <v>142</v>
      </c>
      <c r="D84" s="7">
        <v>5</v>
      </c>
      <c r="E84" s="7">
        <v>9.99</v>
      </c>
      <c r="F84" s="6">
        <f t="shared" si="1"/>
        <v>49.95</v>
      </c>
      <c r="H84" s="20" t="s">
        <v>234</v>
      </c>
    </row>
    <row r="85" spans="1:8" x14ac:dyDescent="0.3">
      <c r="A85" s="13" t="s">
        <v>35</v>
      </c>
      <c r="B85" s="23" t="s">
        <v>235</v>
      </c>
      <c r="C85" s="17" t="s">
        <v>143</v>
      </c>
      <c r="D85" s="8">
        <v>1</v>
      </c>
      <c r="E85" s="8">
        <v>6.02</v>
      </c>
      <c r="F85" s="6">
        <f t="shared" si="1"/>
        <v>6.02</v>
      </c>
      <c r="H85" s="21" t="s">
        <v>235</v>
      </c>
    </row>
    <row r="86" spans="1:8" x14ac:dyDescent="0.3">
      <c r="A86" s="12" t="s">
        <v>63</v>
      </c>
      <c r="B86" s="23" t="s">
        <v>236</v>
      </c>
      <c r="C86" s="16" t="s">
        <v>144</v>
      </c>
      <c r="D86" s="7">
        <v>1</v>
      </c>
      <c r="E86" s="7">
        <v>2.3199999999999998</v>
      </c>
      <c r="F86" s="6">
        <f t="shared" si="1"/>
        <v>2.3199999999999998</v>
      </c>
      <c r="H86" s="20" t="s">
        <v>236</v>
      </c>
    </row>
    <row r="87" spans="1:8" x14ac:dyDescent="0.3">
      <c r="A87" s="13" t="s">
        <v>65</v>
      </c>
      <c r="B87" s="23" t="s">
        <v>237</v>
      </c>
      <c r="C87" s="13" t="s">
        <v>78</v>
      </c>
      <c r="D87" s="8">
        <v>4</v>
      </c>
      <c r="E87" s="8">
        <v>11.99</v>
      </c>
      <c r="F87" s="6">
        <f t="shared" si="1"/>
        <v>47.96</v>
      </c>
      <c r="H87" s="21" t="s">
        <v>237</v>
      </c>
    </row>
    <row r="88" spans="1:8" x14ac:dyDescent="0.3">
      <c r="A88" s="12" t="s">
        <v>63</v>
      </c>
      <c r="B88" s="23" t="s">
        <v>238</v>
      </c>
      <c r="C88" s="12" t="s">
        <v>145</v>
      </c>
      <c r="D88" s="7">
        <v>1</v>
      </c>
      <c r="E88" s="7">
        <v>9.99</v>
      </c>
      <c r="F88" s="6">
        <f t="shared" si="1"/>
        <v>9.99</v>
      </c>
      <c r="H88" s="20" t="s">
        <v>238</v>
      </c>
    </row>
    <row r="89" spans="1:8" x14ac:dyDescent="0.3">
      <c r="A89" s="13" t="s">
        <v>66</v>
      </c>
      <c r="B89" s="23" t="s">
        <v>239</v>
      </c>
      <c r="C89" s="17" t="s">
        <v>146</v>
      </c>
      <c r="D89" s="8">
        <v>2</v>
      </c>
      <c r="E89" s="8">
        <v>14.63</v>
      </c>
      <c r="F89" s="6">
        <f t="shared" si="1"/>
        <v>29.26</v>
      </c>
      <c r="H89" s="25" t="s">
        <v>239</v>
      </c>
    </row>
    <row r="90" spans="1:8" x14ac:dyDescent="0.3">
      <c r="A90" s="13" t="s">
        <v>67</v>
      </c>
      <c r="B90" s="23" t="s">
        <v>240</v>
      </c>
      <c r="C90" s="26" t="s">
        <v>147</v>
      </c>
      <c r="D90" s="8">
        <v>4</v>
      </c>
      <c r="E90" s="8">
        <v>167.42</v>
      </c>
      <c r="F90" s="6">
        <f t="shared" si="1"/>
        <v>669.68</v>
      </c>
      <c r="H90" s="25" t="s">
        <v>240</v>
      </c>
    </row>
    <row r="91" spans="1:8" x14ac:dyDescent="0.3">
      <c r="A91" s="13" t="s">
        <v>46</v>
      </c>
      <c r="B91" s="23" t="s">
        <v>241</v>
      </c>
      <c r="C91" s="17" t="s">
        <v>148</v>
      </c>
      <c r="D91" s="8">
        <v>1</v>
      </c>
      <c r="E91" s="8">
        <v>12.61</v>
      </c>
      <c r="F91" s="6">
        <f t="shared" si="1"/>
        <v>12.61</v>
      </c>
      <c r="H91" s="25" t="s">
        <v>241</v>
      </c>
    </row>
    <row r="92" spans="1:8" x14ac:dyDescent="0.3">
      <c r="A92" s="13" t="s">
        <v>68</v>
      </c>
      <c r="B92" s="23"/>
      <c r="C92" s="13" t="s">
        <v>149</v>
      </c>
      <c r="D92" s="8">
        <v>2</v>
      </c>
      <c r="E92" s="8">
        <v>10.45</v>
      </c>
      <c r="F92" s="6">
        <f t="shared" si="1"/>
        <v>20.9</v>
      </c>
      <c r="H92" s="27" t="s">
        <v>78</v>
      </c>
    </row>
    <row r="93" spans="1:8" x14ac:dyDescent="0.3">
      <c r="A93" s="2" t="s">
        <v>264</v>
      </c>
      <c r="B93" s="2" t="s">
        <v>265</v>
      </c>
      <c r="C93" s="28" t="s">
        <v>266</v>
      </c>
      <c r="D93" s="2">
        <v>1</v>
      </c>
      <c r="E93" s="6">
        <v>110</v>
      </c>
      <c r="F93" s="6">
        <f t="shared" ref="F93:F95" si="2">D93*E93</f>
        <v>110</v>
      </c>
      <c r="H93" s="27" t="s">
        <v>267</v>
      </c>
    </row>
    <row r="94" spans="1:8" x14ac:dyDescent="0.3">
      <c r="A94" s="13" t="s">
        <v>268</v>
      </c>
      <c r="B94" s="23" t="s">
        <v>273</v>
      </c>
      <c r="C94" s="13" t="s">
        <v>274</v>
      </c>
      <c r="D94" s="8">
        <v>1</v>
      </c>
      <c r="E94" s="8">
        <v>13.55</v>
      </c>
      <c r="F94" s="6">
        <f t="shared" si="2"/>
        <v>13.55</v>
      </c>
      <c r="H94" s="25" t="s">
        <v>271</v>
      </c>
    </row>
    <row r="95" spans="1:8" x14ac:dyDescent="0.3">
      <c r="A95" s="13" t="s">
        <v>269</v>
      </c>
      <c r="B95" s="23" t="s">
        <v>272</v>
      </c>
      <c r="C95" s="13" t="s">
        <v>275</v>
      </c>
      <c r="D95" s="8">
        <v>1</v>
      </c>
      <c r="E95" s="8">
        <v>8.4700000000000006</v>
      </c>
      <c r="F95" s="6">
        <f t="shared" si="2"/>
        <v>8.4700000000000006</v>
      </c>
      <c r="H95" s="25" t="s">
        <v>270</v>
      </c>
    </row>
    <row r="96" spans="1:8" x14ac:dyDescent="0.3">
      <c r="A96" s="13" t="s">
        <v>68</v>
      </c>
      <c r="B96" s="23"/>
      <c r="C96" s="13" t="s">
        <v>150</v>
      </c>
      <c r="D96" s="8">
        <v>3</v>
      </c>
      <c r="E96" s="8">
        <v>2.1800000000000002</v>
      </c>
      <c r="F96" s="6">
        <f t="shared" si="1"/>
        <v>6.5400000000000009</v>
      </c>
      <c r="H96" s="27" t="s">
        <v>78</v>
      </c>
    </row>
    <row r="97" spans="1:11" x14ac:dyDescent="0.3">
      <c r="A97" s="13" t="s">
        <v>69</v>
      </c>
      <c r="B97" s="23"/>
      <c r="C97" s="13">
        <v>156665159304</v>
      </c>
      <c r="D97" s="8">
        <v>3</v>
      </c>
      <c r="E97" s="8">
        <v>35.97</v>
      </c>
      <c r="F97" s="6">
        <f t="shared" si="1"/>
        <v>107.91</v>
      </c>
      <c r="H97" s="27" t="s">
        <v>78</v>
      </c>
    </row>
    <row r="98" spans="1:11" x14ac:dyDescent="0.3">
      <c r="A98" s="13" t="s">
        <v>67</v>
      </c>
      <c r="B98" s="23" t="s">
        <v>240</v>
      </c>
      <c r="C98" s="13" t="s">
        <v>147</v>
      </c>
      <c r="D98" s="8">
        <v>3</v>
      </c>
      <c r="E98" s="8">
        <v>167.42</v>
      </c>
      <c r="F98" s="6">
        <f t="shared" si="1"/>
        <v>502.26</v>
      </c>
      <c r="H98" s="25" t="s">
        <v>240</v>
      </c>
    </row>
    <row r="99" spans="1:11" x14ac:dyDescent="0.3">
      <c r="A99" s="13" t="s">
        <v>70</v>
      </c>
      <c r="B99" s="23" t="s">
        <v>249</v>
      </c>
      <c r="C99" s="13">
        <v>316529</v>
      </c>
      <c r="D99" s="8">
        <v>1</v>
      </c>
      <c r="E99" s="8">
        <v>405</v>
      </c>
      <c r="F99" s="6">
        <f t="shared" si="1"/>
        <v>405</v>
      </c>
      <c r="H99" s="25" t="s">
        <v>242</v>
      </c>
    </row>
    <row r="100" spans="1:11" x14ac:dyDescent="0.3">
      <c r="A100" s="13" t="s">
        <v>66</v>
      </c>
      <c r="B100" s="23" t="s">
        <v>250</v>
      </c>
      <c r="C100" s="11" t="s">
        <v>151</v>
      </c>
      <c r="D100" s="8">
        <v>1</v>
      </c>
      <c r="E100" s="8">
        <v>37.4</v>
      </c>
      <c r="F100" s="6">
        <f t="shared" si="1"/>
        <v>37.4</v>
      </c>
      <c r="H100" s="25" t="s">
        <v>243</v>
      </c>
    </row>
    <row r="101" spans="1:11" x14ac:dyDescent="0.3">
      <c r="A101" s="13" t="s">
        <v>17</v>
      </c>
      <c r="B101" s="23" t="s">
        <v>244</v>
      </c>
      <c r="C101" s="11" t="s">
        <v>152</v>
      </c>
      <c r="D101" s="8">
        <v>1</v>
      </c>
      <c r="E101" s="8">
        <v>20.91</v>
      </c>
      <c r="F101" s="6">
        <f t="shared" si="1"/>
        <v>20.91</v>
      </c>
      <c r="H101" s="25" t="s">
        <v>244</v>
      </c>
    </row>
    <row r="102" spans="1:11" x14ac:dyDescent="0.3">
      <c r="A102" s="13" t="s">
        <v>61</v>
      </c>
      <c r="B102" s="23" t="s">
        <v>251</v>
      </c>
      <c r="C102" s="11" t="s">
        <v>74</v>
      </c>
      <c r="D102" s="8">
        <v>1</v>
      </c>
      <c r="E102" s="8">
        <v>79.099999999999994</v>
      </c>
      <c r="F102" s="6">
        <f t="shared" si="1"/>
        <v>79.099999999999994</v>
      </c>
      <c r="H102" s="25" t="s">
        <v>245</v>
      </c>
    </row>
    <row r="103" spans="1:11" x14ac:dyDescent="0.3">
      <c r="A103" s="13" t="s">
        <v>71</v>
      </c>
      <c r="B103" s="23" t="s">
        <v>246</v>
      </c>
      <c r="C103" s="17" t="s">
        <v>153</v>
      </c>
      <c r="D103" s="8">
        <v>1</v>
      </c>
      <c r="E103" s="8">
        <v>16.260000000000002</v>
      </c>
      <c r="F103" s="6">
        <f t="shared" si="1"/>
        <v>16.260000000000002</v>
      </c>
      <c r="H103" s="25" t="s">
        <v>246</v>
      </c>
    </row>
    <row r="104" spans="1:11" x14ac:dyDescent="0.3">
      <c r="A104" s="29" t="s">
        <v>258</v>
      </c>
      <c r="B104" s="23" t="s">
        <v>254</v>
      </c>
      <c r="C104" s="10" t="s">
        <v>253</v>
      </c>
      <c r="D104" s="30">
        <v>1</v>
      </c>
      <c r="E104" s="30">
        <v>5.35</v>
      </c>
      <c r="F104" s="6">
        <f>D104*E104</f>
        <v>5.35</v>
      </c>
      <c r="H104" s="31" t="s">
        <v>252</v>
      </c>
    </row>
    <row r="105" spans="1:11" x14ac:dyDescent="0.3">
      <c r="A105" s="29" t="s">
        <v>259</v>
      </c>
      <c r="B105" s="23" t="s">
        <v>256</v>
      </c>
      <c r="C105" s="10" t="s">
        <v>257</v>
      </c>
      <c r="D105" s="30">
        <v>1</v>
      </c>
      <c r="E105" s="30">
        <v>10.75</v>
      </c>
      <c r="F105" s="6">
        <f>D105*E105</f>
        <v>10.75</v>
      </c>
      <c r="H105" s="31" t="s">
        <v>255</v>
      </c>
    </row>
    <row r="106" spans="1:11" x14ac:dyDescent="0.3">
      <c r="A106" s="29" t="s">
        <v>260</v>
      </c>
      <c r="B106" s="23" t="s">
        <v>263</v>
      </c>
      <c r="C106" s="10" t="s">
        <v>262</v>
      </c>
      <c r="D106" s="30">
        <v>1</v>
      </c>
      <c r="E106" s="30">
        <v>6.68</v>
      </c>
      <c r="F106" s="6">
        <v>7.96</v>
      </c>
      <c r="H106" s="31" t="s">
        <v>261</v>
      </c>
    </row>
    <row r="107" spans="1:11" x14ac:dyDescent="0.3">
      <c r="A107" s="13" t="s">
        <v>294</v>
      </c>
      <c r="B107" s="23" t="s">
        <v>276</v>
      </c>
      <c r="C107" s="10" t="s">
        <v>277</v>
      </c>
      <c r="D107" s="8">
        <v>1</v>
      </c>
      <c r="E107" s="8">
        <v>28.78</v>
      </c>
      <c r="F107" s="6">
        <f t="shared" ref="F107:F109" si="3">D107*E107</f>
        <v>28.78</v>
      </c>
      <c r="H107" s="31" t="s">
        <v>278</v>
      </c>
    </row>
    <row r="108" spans="1:11" x14ac:dyDescent="0.3">
      <c r="A108" s="13" t="s">
        <v>293</v>
      </c>
      <c r="B108" s="23" t="s">
        <v>281</v>
      </c>
      <c r="C108" s="10" t="s">
        <v>280</v>
      </c>
      <c r="D108" s="8">
        <v>1</v>
      </c>
      <c r="E108" s="8">
        <v>146.18</v>
      </c>
      <c r="F108" s="6">
        <f t="shared" si="3"/>
        <v>146.18</v>
      </c>
      <c r="H108" s="31" t="s">
        <v>279</v>
      </c>
    </row>
    <row r="109" spans="1:11" x14ac:dyDescent="0.3">
      <c r="A109" s="13" t="s">
        <v>292</v>
      </c>
      <c r="B109" s="23" t="s">
        <v>282</v>
      </c>
      <c r="C109" s="10" t="s">
        <v>283</v>
      </c>
      <c r="D109" s="8">
        <v>1</v>
      </c>
      <c r="E109" s="8">
        <v>36.06</v>
      </c>
      <c r="F109" s="6">
        <f t="shared" si="3"/>
        <v>36.06</v>
      </c>
      <c r="H109" s="32" t="s">
        <v>284</v>
      </c>
    </row>
    <row r="110" spans="1:11" s="24" customFormat="1" ht="13.5" customHeight="1" x14ac:dyDescent="0.3">
      <c r="A110" s="33" t="s">
        <v>291</v>
      </c>
      <c r="B110" s="34" t="s">
        <v>285</v>
      </c>
      <c r="C110" s="35" t="s">
        <v>286</v>
      </c>
      <c r="D110" s="36">
        <v>2</v>
      </c>
      <c r="E110" s="36">
        <v>7.82</v>
      </c>
      <c r="F110" s="37">
        <f t="shared" ref="F110:F114" si="4">D110*E110</f>
        <v>15.64</v>
      </c>
      <c r="H110" s="38" t="s">
        <v>287</v>
      </c>
    </row>
    <row r="111" spans="1:11" ht="14.7" customHeight="1" x14ac:dyDescent="0.3">
      <c r="A111" s="39" t="s">
        <v>17</v>
      </c>
      <c r="B111" s="40" t="s">
        <v>288</v>
      </c>
      <c r="C111" s="41" t="s">
        <v>289</v>
      </c>
      <c r="D111" s="42">
        <v>2</v>
      </c>
      <c r="E111" s="42">
        <v>14.99</v>
      </c>
      <c r="F111" s="43">
        <f t="shared" si="4"/>
        <v>29.98</v>
      </c>
      <c r="G111" s="23"/>
      <c r="H111" s="44" t="s">
        <v>290</v>
      </c>
      <c r="I111" s="23"/>
      <c r="J111" s="23"/>
      <c r="K111" s="23"/>
    </row>
    <row r="112" spans="1:11" x14ac:dyDescent="0.3">
      <c r="A112" s="13" t="s">
        <v>61</v>
      </c>
      <c r="B112" s="23" t="s">
        <v>251</v>
      </c>
      <c r="C112" s="11" t="s">
        <v>74</v>
      </c>
      <c r="D112" s="8">
        <v>1</v>
      </c>
      <c r="E112" s="8">
        <v>79.099999999999994</v>
      </c>
      <c r="F112" s="6">
        <f t="shared" si="4"/>
        <v>79.099999999999994</v>
      </c>
      <c r="H112" s="21" t="s">
        <v>245</v>
      </c>
    </row>
    <row r="113" spans="1:9" x14ac:dyDescent="0.3">
      <c r="A113" s="13" t="s">
        <v>17</v>
      </c>
      <c r="B113" s="23" t="s">
        <v>296</v>
      </c>
      <c r="C113" s="10" t="s">
        <v>297</v>
      </c>
      <c r="D113" s="8">
        <v>1</v>
      </c>
      <c r="E113" s="8">
        <v>18.309999999999999</v>
      </c>
      <c r="F113" s="6">
        <f t="shared" si="4"/>
        <v>18.309999999999999</v>
      </c>
      <c r="H113" s="1" t="s">
        <v>295</v>
      </c>
    </row>
    <row r="114" spans="1:9" x14ac:dyDescent="0.3">
      <c r="A114" s="13" t="s">
        <v>66</v>
      </c>
      <c r="B114" s="23" t="s">
        <v>250</v>
      </c>
      <c r="C114" s="11" t="s">
        <v>151</v>
      </c>
      <c r="D114" s="8">
        <v>1</v>
      </c>
      <c r="E114" s="8">
        <v>37.4</v>
      </c>
      <c r="F114" s="6">
        <f t="shared" si="4"/>
        <v>37.4</v>
      </c>
      <c r="H114" s="21" t="s">
        <v>243</v>
      </c>
    </row>
    <row r="115" spans="1:9" x14ac:dyDescent="0.3">
      <c r="A115" s="13" t="s">
        <v>300</v>
      </c>
      <c r="B115" s="45" t="s">
        <v>301</v>
      </c>
      <c r="C115" s="10"/>
      <c r="D115" s="8">
        <v>1</v>
      </c>
      <c r="E115" s="8">
        <v>14.79</v>
      </c>
      <c r="F115" s="6">
        <f>D115*E115</f>
        <v>14.79</v>
      </c>
      <c r="H115" s="1" t="s">
        <v>299</v>
      </c>
    </row>
    <row r="116" spans="1:9" ht="15.6" customHeight="1" x14ac:dyDescent="0.3">
      <c r="A116" s="13" t="s">
        <v>314</v>
      </c>
      <c r="B116" s="23" t="s">
        <v>312</v>
      </c>
      <c r="C116" s="10" t="s">
        <v>313</v>
      </c>
      <c r="D116" s="8">
        <v>1</v>
      </c>
      <c r="E116" s="8">
        <v>93.8</v>
      </c>
      <c r="F116" s="6">
        <f>D116*E116</f>
        <v>93.8</v>
      </c>
      <c r="H116" s="1" t="s">
        <v>311</v>
      </c>
      <c r="I116" s="1" t="s">
        <v>310</v>
      </c>
    </row>
    <row r="117" spans="1:9" x14ac:dyDescent="0.3">
      <c r="A117" s="47" t="s">
        <v>305</v>
      </c>
      <c r="B117" s="48" t="s">
        <v>307</v>
      </c>
      <c r="C117" s="49" t="s">
        <v>308</v>
      </c>
      <c r="D117" s="50">
        <v>1</v>
      </c>
      <c r="E117" s="50">
        <v>90.93</v>
      </c>
      <c r="F117" s="51">
        <f>D117*E117</f>
        <v>90.93</v>
      </c>
      <c r="G117" s="52"/>
      <c r="H117" s="53" t="s">
        <v>306</v>
      </c>
      <c r="I117" t="s">
        <v>315</v>
      </c>
    </row>
    <row r="118" spans="1:9" x14ac:dyDescent="0.3">
      <c r="A118" s="13" t="s">
        <v>316</v>
      </c>
      <c r="B118" s="23" t="s">
        <v>317</v>
      </c>
      <c r="C118" s="10">
        <v>71240882</v>
      </c>
      <c r="D118" s="8">
        <v>1</v>
      </c>
      <c r="E118" s="8">
        <v>103.78</v>
      </c>
      <c r="F118" s="6">
        <f>D118*E118</f>
        <v>103.78</v>
      </c>
      <c r="H118" s="1" t="s">
        <v>318</v>
      </c>
    </row>
    <row r="119" spans="1:9" x14ac:dyDescent="0.3">
      <c r="A119" s="13"/>
      <c r="B119" s="23"/>
      <c r="C119" s="10"/>
      <c r="D119" s="8"/>
      <c r="E119" s="8"/>
      <c r="F119" s="6"/>
      <c r="H119" s="10"/>
    </row>
    <row r="120" spans="1:9" x14ac:dyDescent="0.3">
      <c r="A120" s="13" t="s">
        <v>303</v>
      </c>
      <c r="B120" s="23" t="s">
        <v>304</v>
      </c>
      <c r="C120" s="10" t="s">
        <v>309</v>
      </c>
      <c r="D120" s="8">
        <v>2</v>
      </c>
      <c r="E120" s="8">
        <v>85.47</v>
      </c>
      <c r="F120" s="6">
        <f>D120*E120</f>
        <v>170.94</v>
      </c>
      <c r="H120" s="46" t="s">
        <v>302</v>
      </c>
    </row>
    <row r="121" spans="1:9" ht="15.6" customHeight="1" x14ac:dyDescent="0.3">
      <c r="A121" s="39" t="s">
        <v>298</v>
      </c>
      <c r="B121" s="40" t="s">
        <v>288</v>
      </c>
      <c r="C121" s="41" t="s">
        <v>289</v>
      </c>
      <c r="D121" s="42">
        <v>1</v>
      </c>
      <c r="E121" s="42">
        <v>14.99</v>
      </c>
      <c r="F121" s="43">
        <f>D121*E121</f>
        <v>14.99</v>
      </c>
      <c r="G121" s="23"/>
      <c r="H121" s="44" t="s">
        <v>290</v>
      </c>
    </row>
    <row r="122" spans="1:9" x14ac:dyDescent="0.3">
      <c r="A122" s="13"/>
      <c r="B122" s="23"/>
      <c r="C122" s="10"/>
      <c r="D122" s="8"/>
      <c r="E122" s="8"/>
      <c r="F122" s="6"/>
      <c r="H122" s="10"/>
    </row>
    <row r="123" spans="1:9" x14ac:dyDescent="0.3">
      <c r="A123" s="13"/>
      <c r="B123" s="23"/>
      <c r="C123" s="10"/>
      <c r="D123" s="8"/>
      <c r="E123" s="8"/>
      <c r="F123" s="6"/>
      <c r="H123" s="10"/>
    </row>
    <row r="124" spans="1:9" x14ac:dyDescent="0.3">
      <c r="A124" s="13"/>
      <c r="B124" s="23"/>
      <c r="C124" s="10"/>
      <c r="D124" s="8"/>
      <c r="E124" s="8"/>
      <c r="F124" s="6">
        <f>D124*E124</f>
        <v>0</v>
      </c>
      <c r="H124" s="10"/>
    </row>
    <row r="125" spans="1:9" x14ac:dyDescent="0.3">
      <c r="A125" s="13"/>
      <c r="B125" s="23"/>
      <c r="C125" s="10"/>
      <c r="D125" s="8"/>
      <c r="E125" s="8"/>
      <c r="F125" s="6">
        <f t="shared" ref="F125:F127" si="5">D125*E125</f>
        <v>0</v>
      </c>
      <c r="H125" s="10"/>
    </row>
    <row r="126" spans="1:9" x14ac:dyDescent="0.3">
      <c r="A126" s="13"/>
      <c r="B126" s="23"/>
      <c r="C126" s="10"/>
      <c r="D126" s="8"/>
      <c r="E126" s="8"/>
      <c r="F126" s="6">
        <f t="shared" si="5"/>
        <v>0</v>
      </c>
      <c r="H126" s="10"/>
    </row>
    <row r="127" spans="1:9" x14ac:dyDescent="0.3">
      <c r="A127" s="29"/>
      <c r="B127" s="23"/>
      <c r="C127" s="10"/>
      <c r="D127" s="30"/>
      <c r="E127" s="30"/>
      <c r="F127" s="6">
        <f t="shared" si="5"/>
        <v>0</v>
      </c>
      <c r="H127" s="10"/>
    </row>
  </sheetData>
  <phoneticPr fontId="2" type="noConversion"/>
  <hyperlinks>
    <hyperlink ref="H2" r:id="rId1" xr:uid="{04A66D79-381A-4D8F-B96B-690C49FF205D}"/>
    <hyperlink ref="H3" r:id="rId2" display="https://www.mscdirect.com/product/details/67436964?rItem=67436964" xr:uid="{24BDD22A-684B-42BE-87B7-EDBCDAEC452B}"/>
    <hyperlink ref="H4" r:id="rId3" display="https://www.mscdirect.com/product/details/67473967?rItem=67473967" xr:uid="{544F7078-963A-46B2-80E6-E896DDD02BCC}"/>
    <hyperlink ref="H5" r:id="rId4" display="https://www.fastenal.com/product/details/99176795" xr:uid="{51374E48-79C1-4D03-A0C3-9B7DA0326A72}"/>
    <hyperlink ref="H6" r:id="rId5" display="https://www.grainger.com/product/53UJ14?RIID=51819294775&amp;GID=729415832&amp;mid=OrderConfirmation_REST&amp;rfe=62a290c53505e3dcfb30a85f2b634b55e49dc37c6d953be435f9c27577e028b8&amp;gucid=EMT:11126144:Item:CSM-323&amp;emcid=NA:Item" xr:uid="{B8B8E6F1-75AF-4AC0-958F-B4A058280744}"/>
    <hyperlink ref="H7" r:id="rId6" display="https://www.grainger.com/product/53UH83?RIID=51819294775&amp;GID=729415832&amp;mid=OrderConfirmation_REST&amp;rfe=62a290c53505e3dcfb30a85f2b634b55e49dc37c6d953be435f9c27577e028b8&amp;gucid=EMT:11126144:Item:CSM-323&amp;emcid=NA:Item" xr:uid="{17673A03-5475-44F9-93DF-DA831DB68AEF}"/>
    <hyperlink ref="H8" r:id="rId7" display="https://www.grainger.com/product/Metal-Pipe-Flange-Flange-4WPV1" xr:uid="{B16C865C-DE4B-4DB8-A4B7-0BA89175A165}"/>
    <hyperlink ref="H9" r:id="rId8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53F1B539-F831-42FC-B720-2812BAC53DAF}"/>
    <hyperlink ref="H10" r:id="rId9" display="https://www.grainger.com/product/PARKER-Metal-Pipe-Tee-Tee-13Y864" xr:uid="{6A9B9ED8-AC0D-4EB3-96A0-401BB5ABFC80}"/>
    <hyperlink ref="H11" r:id="rId10" display="https://www.grainger.com/product/PARKER-Compression-Fitting-Adapter-20YY84" xr:uid="{6BD40FBF-2038-4741-A1EA-EC7FB06DDECA}"/>
    <hyperlink ref="H13" r:id="rId11" display="https://www.burkert-usa.com/en/products/proportional-valves/controllers/316533" xr:uid="{C5D67961-BC9D-4E9D-942B-0DBA41AD70EE}"/>
    <hyperlink ref="H14" r:id="rId12" display="https://www.burkert-usa.com/en/type/8605?utm_source=DataSheet-8605&amp;utm_medium=Text-Link&amp;utm_campaign=Type-Link&amp;utm_content=Typ-8605" xr:uid="{A8FB3AB7-B501-4E3C-B8C8-884623371541}"/>
    <hyperlink ref="H15" r:id="rId13" display="https://www.burkert-usa.com/en/products/solenoid-valves/accessories/cable-plugs/314802?utm_campaign=Article-Link&amp;utm_content=314802&amp;utm_medium=Text-Link&amp;utm_source=DataSheet-2836" xr:uid="{0E412006-E034-498B-B6F8-2A8AEE6480F2}"/>
    <hyperlink ref="H16" r:id="rId14" display="https://www.burkert-usa.com/en/products/proportional-valves/general-purpose-proportional-valves/164598" xr:uid="{572269BD-FF23-440D-AE3E-8FD77CC542E6}"/>
    <hyperlink ref="H17" r:id="rId15" display="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" xr:uid="{11013DBE-1C77-4C55-B6E5-6E8AD1A08AFE}"/>
    <hyperlink ref="H19" r:id="rId16" display="https://www.digikey.com/en/products/detail/jonard-tools/JIC-2030/2308356?so=97133380&amp;content=productdetail_row&amp;mkt_tok=MDI4LVNYSy01MDcAAAGfqc74y9fVo3D_eYIHOq8qMpCiq1AQlBRoPSPgiUC8lxE_0DXY_ppdkf0PIg1Nc39i39ld1zszhIxhzi4NatLPa5Cp8OS-2CsOZqlhAV1hvQ" xr:uid="{6BB24BC4-AC3E-402C-B13B-6F4A93CA39AD}"/>
    <hyperlink ref="H20" r:id="rId17" display="https://www.digikey.com/en/products/detail/klein-tools-inc/34055/24627409?so=97133380&amp;content=productdetail_row&amp;mkt_tok=MDI4LVNYSy01MDcAAAGfqc74y-LsPsvVQ5V6Hu53b7J9vpASeLmlJbJNm4ZIjBVDRhamAmNAH72cjUqWXQCpIXSkP4XcJ4H4RZ89yC3kaEsDbSqDUKqBb6zI28B0Zw" xr:uid="{89C610F4-4192-4ED2-B4E6-F4FFAC10B32D}"/>
    <hyperlink ref="H21" r:id="rId18" display="https://www.digikey.com/en/products/detail/american-electrical-inc/1161014/266366?so=97133380&amp;content=productdetail_row&amp;mkt_tok=MDI4LVNYSy01MDcAAAGfqc74y_2nxjw-T57RmEQGrUX63KPY4YoEnMSjghSuuo7pkFXLLVrDjGzE1S6EwVJzLXYpMCRfqTB2XjQf-7zCw5WzPNIjIpufSD41ZSQB-A" xr:uid="{FDF5669B-E2C3-43D7-80B9-3549CCF437FF}"/>
    <hyperlink ref="H22" r:id="rId19" display="https://www.bhphotovideo.com/c/product/744102-REG/Bosch_UMM_LW_20B_UMM_LW_20B_Monitor_Wall_Mount.html" xr:uid="{2FF9F493-9EA1-4EF0-BC9D-6C0CB8836333}"/>
    <hyperlink ref="H23" r:id="rId20" display="https://www.cdwg.com/product/dell-p2424ht-led-monitor-full-hd-1080p-24/7568365?enkwrd=7568365" xr:uid="{DAC34867-5303-4D8A-8477-223830AE83C4}"/>
    <hyperlink ref="H24" r:id="rId21" display="https://www.cdwg.com/product/dell-pro-e2425hm-led-monitor-full-hd-1080p-24/8323512?enkwrd=8323512" xr:uid="{439024AF-A87F-4D36-BA38-9853B1161C76}"/>
    <hyperlink ref="H25" r:id="rId22" display="https://www.bhphotovideo.com/c/product/744102-REG/Bosch_UMM_LW_20B_UMM_LW_20B_Monitor_Wall_Mount.html" xr:uid="{B624D380-B7B0-4695-8B7D-2AFF7DE4B81E}"/>
    <hyperlink ref="H26" r:id="rId23" display="https://www.grainger.com/product/3AAA2?RIID=51819294775&amp;GID=729415832&amp;mid=OrderConfirmation_REST&amp;rfe=be60c264cb8af064766c979f26eae4bb472251d98b9b8ab10d9b00772ba5c4ca&amp;gucid=EMT:11126144:Item:CSM-323&amp;emcid=NA:Item" xr:uid="{98B92B56-2B9D-4C22-8CA5-78A567526DA4}"/>
    <hyperlink ref="H27" r:id="rId24" display="https://www.grainger.com/product/5ZY28?RIID=51819294775&amp;GID=729415832&amp;mid=OrderConfirmation_REST&amp;rfe=be60c264cb8af064766c979f26eae4bb472251d98b9b8ab10d9b00772ba5c4ca&amp;gucid=EMT:11126144:Item:CSM-323&amp;emcid=NA:Item" xr:uid="{012A8C84-B7CD-47D4-B4D1-B8ED65C7AC2E}"/>
    <hyperlink ref="H28" r:id="rId25" display="https://www.grainger.com/product/13Y764?RIID=51819294775&amp;GID=729415832&amp;mid=OrderConfirmation_REST&amp;rfe=be60c264cb8af064766c979f26eae4bb472251d98b9b8ab10d9b00772ba5c4ca&amp;gucid=EMT:11126144:Item:CSM-323&amp;emcid=NA:Item" xr:uid="{92DF05F4-B945-435D-A22E-6DC22065A295}"/>
    <hyperlink ref="H29" r:id="rId26" display="https://www.grainger.com/product/13Y763?RIID=51819294775&amp;GID=729415832&amp;mid=OrderConfirmation_REST&amp;rfe=be60c264cb8af064766c979f26eae4bb472251d98b9b8ab10d9b00772ba5c4ca&amp;gucid=EMT:11126144:Item:CSM-323&amp;emcid=NA:Item" xr:uid="{838B847B-F9D7-4364-A123-BB7FCBFF5771}"/>
    <hyperlink ref="H30" r:id="rId27" display="https://www.grainger.com/product/4DRC4?RIID=51819294775&amp;GID=729415832&amp;mid=OrderConfirmation_REST&amp;rfe=be60c264cb8af064766c979f26eae4bb472251d98b9b8ab10d9b00772ba5c4ca&amp;gucid=EMT:11126144:Item:CSM-323&amp;emcid=NA:Item" xr:uid="{C5003C5A-8805-4C32-963B-8719B79FD287}"/>
    <hyperlink ref="H31" r:id="rId28" display="https://www.grainger.com/product/1VGU6?RIID=51819294775&amp;GID=729415832&amp;mid=OrderConfirmation_REST&amp;rfe=be60c264cb8af064766c979f26eae4bb472251d98b9b8ab10d9b00772ba5c4ca&amp;gucid=EMT:11126144:Item:CSM-323&amp;emcid=NA:Item" xr:uid="{BA997C7A-3E46-418E-928C-FE78BC8FB677}"/>
    <hyperlink ref="H32" r:id="rId29" display="https://www.grainger.com/product/1VGU2?RIID=51819294775&amp;GID=729415832&amp;mid=OrderConfirmation_REST&amp;rfe=be60c264cb8af064766c979f26eae4bb472251d98b9b8ab10d9b00772ba5c4ca&amp;gucid=EMT:11126144:Item:CSM-323&amp;emcid=NA:Item" xr:uid="{418D8A1D-8929-4D5B-9BF5-612CE535F6DC}"/>
    <hyperlink ref="H33" r:id="rId30" display="https://www.grainger.com/product/1VER9?RIID=51819294775&amp;GID=729415832&amp;mid=OrderConfirmation_REST&amp;rfe=be60c264cb8af064766c979f26eae4bb472251d98b9b8ab10d9b00772ba5c4ca&amp;gucid=EMT:11126144:Item:CSM-323&amp;emcid=NA:Item" xr:uid="{8BD5B379-D6FA-40FA-9695-238E384E8BDB}"/>
    <hyperlink ref="H34" r:id="rId31" display="https://www.grainger.com/product/2CFF9?RIID=51819294775&amp;GID=729415832&amp;mid=OrderConfirmation_REST&amp;rfe=be60c264cb8af064766c979f26eae4bb472251d98b9b8ab10d9b00772ba5c4ca&amp;gucid=EMT:11126144:Item:CSM-323&amp;emcid=NA:Item" xr:uid="{68F2E7C9-4465-4A0D-A713-FD65F52E789C}"/>
    <hyperlink ref="H35" r:id="rId32" display="https://www.grainger.com/product/1VEZ5?RIID=51819294775&amp;GID=729415832&amp;mid=OrderConfirmation_REST&amp;rfe=be60c264cb8af064766c979f26eae4bb472251d98b9b8ab10d9b00772ba5c4ca&amp;gucid=EMT:11126144:Item:CSM-323&amp;emcid=NA:Item" xr:uid="{513D5C4F-92DD-40BC-A7D2-E79EBE929CA4}"/>
    <hyperlink ref="H36" r:id="rId33" display="https://www.grainger.com/product/6RCZ8?RIID=51819294775&amp;GID=729415832&amp;mid=OrderConfirmation_REST&amp;rfe=be60c264cb8af064766c979f26eae4bb472251d98b9b8ab10d9b00772ba5c4ca&amp;gucid=EMT:11126144:Item:CSM-323&amp;emcid=NA:Item" xr:uid="{70E1C222-FFF1-445D-838E-D2C8844126B0}"/>
    <hyperlink ref="H37" r:id="rId34" display="https://www.grainger.com/product/1VGR6?RIID=51819294775&amp;GID=729415832&amp;mid=OrderConfirmation_REST&amp;rfe=be60c264cb8af064766c979f26eae4bb472251d98b9b8ab10d9b00772ba5c4ca&amp;gucid=EMT:11126144:Item:CSM-323&amp;emcid=NA:Item" xr:uid="{44B2E88D-E4A9-4599-8A8D-4F3A7EF19860}"/>
    <hyperlink ref="H38" r:id="rId35" display="https://www.grainger.com/product/22FP62?RIID=51819294775&amp;GID=729415832&amp;mid=OrderConfirmation_REST&amp;rfe=be60c264cb8af064766c979f26eae4bb472251d98b9b8ab10d9b00772ba5c4ca&amp;gucid=EMT:11126144:Item:CSM-323&amp;emcid=NA:Item" xr:uid="{A38B8EA8-4042-4FEF-8F4C-15F229414E6C}"/>
    <hyperlink ref="H39" r:id="rId36" display="https://www.grainger.com/product/22FP63?RIID=51819294775&amp;GID=729415832&amp;mid=OrderConfirmation_REST&amp;rfe=be60c264cb8af064766c979f26eae4bb472251d98b9b8ab10d9b00772ba5c4ca&amp;gucid=EMT:11126144:Item:CSM-323&amp;emcid=NA:Item" xr:uid="{142AA45D-1407-4D13-B882-E355B27B716E}"/>
    <hyperlink ref="H40" r:id="rId37" display="https://www.grainger.com/product/1WB27?RIID=51819294775&amp;GID=729415832&amp;mid=OrderConfirmation_REST&amp;rfe=be60c264cb8af064766c979f26eae4bb472251d98b9b8ab10d9b00772ba5c4ca&amp;gucid=EMT:11126144:Item:CSM-323&amp;emcid=NA:Item" xr:uid="{BB7F26C2-DBFF-48E7-BB00-D615547AB6DF}"/>
    <hyperlink ref="H41" r:id="rId38" xr:uid="{FE670601-C229-4B93-BEE8-5ECB0136914F}"/>
    <hyperlink ref="H42" r:id="rId39" display="https://www.grainger.com/product/22FP85?RIID=51819294775&amp;GID=729415832&amp;mid=OrderConfirmation_REST&amp;rfe=be60c264cb8af064766c979f26eae4bb472251d98b9b8ab10d9b00772ba5c4ca&amp;gucid=EMT:11126144:Item:CSM-323&amp;emcid=NA:Item" xr:uid="{0176D96D-7217-4BA6-AD98-E2A7F4F0CB39}"/>
    <hyperlink ref="H43" r:id="rId40" display="https://www.grainger.com/product/6RDA5?RIID=51819294775&amp;GID=729415832&amp;mid=OrderConfirmation_REST&amp;rfe=be60c264cb8af064766c979f26eae4bb472251d98b9b8ab10d9b00772ba5c4ca&amp;gucid=EMT:11126144:Item:CSM-323&amp;emcid=NA:Item" xr:uid="{2AF089A3-81A7-4FE9-8B00-2823658CC139}"/>
    <hyperlink ref="H44" r:id="rId41" display="https://www.grainger.com/product/6RCY9?RIID=51819294775&amp;GID=729415832&amp;mid=OrderConfirmation_REST&amp;rfe=be60c264cb8af064766c979f26eae4bb472251d98b9b8ab10d9b00772ba5c4ca&amp;gucid=EMT:11126144:Item:CSM-323&amp;emcid=NA:Item" xr:uid="{0194C546-D551-46DA-B127-C71A34890D22}"/>
    <hyperlink ref="H45" r:id="rId42" display="https://www.grainger.com/product/796K77?RIID=51819294775&amp;GID=729415832&amp;mid=ShipConfirmation_REST&amp;rfe=f4552f2692caa603b91b9a50ab8ce941f1aa011dbe78b4501c3d4e8d9b0476ef&amp;gucid=EMT:11127411:Item:CSM-329&amp;emcid=NA:Item-LC_Test" xr:uid="{E7B211A7-3BAC-4E97-A8C6-9D6D04369073}"/>
    <hyperlink ref="H46" r:id="rId43" display="https://www.grainger.com/product/1XGY9?RIID=51819294775&amp;GID=729415832&amp;mid=ShipConfirmation_REST&amp;rfe=f4552f2692caa603b91b9a50ab8ce941f1aa011dbe78b4501c3d4e8d9b0476ef&amp;gucid=EMT:11127411:Item:CSM-329&amp;emcid=NA:Item-LC_Test" xr:uid="{2A59A6D2-91C3-4490-9B1E-C804F114647B}"/>
    <hyperlink ref="H47" r:id="rId44" display="https://www.grainger.com/product/55EU91?RIID=51819294775&amp;GID=729415832&amp;mid=ShipConfirmation_REST&amp;rfe=f4552f2692caa603b91b9a50ab8ce941f1aa011dbe78b4501c3d4e8d9b0476ef&amp;gucid=EMT:11127411:Item:CSM-329&amp;emcid=NA:Item-LC_Test" xr:uid="{287BA5D4-7CE8-4977-A40A-CC3DF90B406A}"/>
    <hyperlink ref="H48" r:id="rId45" display="https://www.grainger.com/product/6AFN6?RIID=51819294775&amp;GID=729415832&amp;mid=ShipConfirmation_REST&amp;rfe=f4552f2692caa603b91b9a50ab8ce941f1aa011dbe78b4501c3d4e8d9b0476ef&amp;gucid=EMT:11127411:Item:CSM-329&amp;emcid=NA:Item-LC_Test" xr:uid="{A51C0D91-9BC4-4465-B1C3-7848B41FD793}"/>
    <hyperlink ref="H49" r:id="rId46" display="https://www.grainger.com/product/3KUK5?RIID=51819294775&amp;GID=729415832&amp;mid=ShipConfirmation_REST&amp;rfe=f4552f2692caa603b91b9a50ab8ce941f1aa011dbe78b4501c3d4e8d9b0476ef&amp;gucid=EMT:11127411:Item:CSM-329&amp;emcid=NA:Item-LC_Test" xr:uid="{D8C26020-C360-4EFC-AD41-FF2DCD6EBA88}"/>
    <hyperlink ref="H50" r:id="rId47" display="https://www.grainger.com/product/22FP59?RIID=51819294775&amp;GID=729415832&amp;mid=ShipConfirmation_REST&amp;rfe=f4552f2692caa603b91b9a50ab8ce941f1aa011dbe78b4501c3d4e8d9b0476ef&amp;gucid=EMT:11127411:Item:CSM-329&amp;emcid=NA:Item-LC_Test" xr:uid="{1AFF26C6-F1F7-485D-A953-1D79C9FFDE9B}"/>
    <hyperlink ref="H51" r:id="rId48" display="https://www.grainger.com/product/31JG65?RIID=51819294775&amp;GID=729415832&amp;mid=ShipConfirmation_REST&amp;rfe=f4552f2692caa603b91b9a50ab8ce941f1aa011dbe78b4501c3d4e8d9b0476ef&amp;gucid=EMT:11127411:Item:CSM-329&amp;emcid=NA:Item-LC_Test" xr:uid="{3DFFD9E1-6073-4B54-92C9-85013A7DEC78}"/>
    <hyperlink ref="H52" r:id="rId49" display="https://www.grainger.com/product/31JG35?RIID=51819294775&amp;GID=729415832&amp;mid=ShipConfirmation_REST&amp;rfe=f4552f2692caa603b91b9a50ab8ce941f1aa011dbe78b4501c3d4e8d9b0476ef&amp;gucid=EMT:11127411:Item:CSM-329&amp;emcid=NA:Item-LC_Test" xr:uid="{3991DB29-E03D-430C-8D9B-1A29F92F1A3B}"/>
    <hyperlink ref="H53" r:id="rId50" display="https://www.grainger.com/product/1RUZ1?RIID=51819294775&amp;GID=729415832&amp;mid=ShipConfirmation_REST&amp;rfe=f4552f2692caa603b91b9a50ab8ce941f1aa011dbe78b4501c3d4e8d9b0476ef&amp;gucid=EMT:11127411:Item:CSM-329&amp;emcid=NA:Item-LC_Test" xr:uid="{089A4A85-E9D6-4984-A44B-D25BE5D2D692}"/>
    <hyperlink ref="H54" r:id="rId51" display="https://www.grainger.com/product/48XH63?RIID=51819294775&amp;GID=729415832&amp;mid=ShipConfirmation_REST&amp;rfe=f4552f2692caa603b91b9a50ab8ce941f1aa011dbe78b4501c3d4e8d9b0476ef&amp;gucid=EMT:11127411:Item:CSM-329&amp;emcid=NA:Item-LC_Test" xr:uid="{78C551C3-BF46-4333-91C6-CDFF5A9EF616}"/>
    <hyperlink ref="H55" r:id="rId52" display="https://www.ebay.com/itm/166028064956?_skw=FLR7330D&amp;itmmeta=01KJG8GWDT78Z7AJAH1V586M94&amp;hash=item26a80b38bc:g:WSIAAOSwfhRkNdtN&amp;itmprp=enc%3AAQALAAAA4GfYFPkwiKCW4ZNSs2u11xC6k1jgwqOCn91%2FYMj34QJkbpaOWvcvEPuIyf%2BbKwLFv8nxLRBLlmbXQXbqQstztag9q4rzEfbIuzZwtKZ5YI8PzZL3ahcqloBiyjYO9yzR33RozoWdcCwHvywA%2FDMat7he9%2FlONk7zWHsZmSOxlEySo%2FZPKUsU3D8hUapdc3MBDNWsVvFMkgo1Jm%2Fau4RDa7cfsnVrbiWA72SjG1DpwOE2a07rpjSYp23Dumo5EhgRtL5by8jwvWV45fH4Fna7kfIe8nr%2Fa6JtefXV7l8cDNlf%7Ctkp%3ABk9SR_zHw4iUZw" xr:uid="{6B84276D-D223-4E68-8499-8C273D212BC8}"/>
    <hyperlink ref="H56" r:id="rId53" display="https://www.grainger.com/product/1VGT7?RIID=51819294775&amp;GID=729415832&amp;mid=OrderConfirmation_REST&amp;rfe=846af193db4b9fe8ece7af7398118558bf0aa4ab99f90e9dc4c14e3389ebe8a4&amp;gucid=EMT:11126144:Item:CSM-323&amp;emcid=NA:Item" xr:uid="{E5ABEF4D-ADC8-48CE-818A-B95FD297BFD8}"/>
    <hyperlink ref="H57" r:id="rId54" display="https://www.grainger.com/product/4UEG9?RIID=51819294775&amp;GID=729415832&amp;mid=OrderConfirmation_REST&amp;rfe=846af193db4b9fe8ece7af7398118558bf0aa4ab99f90e9dc4c14e3389ebe8a4&amp;gucid=EMT:11126144:Item:CSM-323&amp;emcid=NA:Item" xr:uid="{E815DBA3-4A22-421F-BFE3-958F753246F1}"/>
    <hyperlink ref="H58" r:id="rId55" display="https://www.grainger.com/product/10W669?RIID=51819294775&amp;GID=729415832&amp;mid=OrderConfirmation_REST&amp;rfe=846af193db4b9fe8ece7af7398118558bf0aa4ab99f90e9dc4c14e3389ebe8a4&amp;gucid=EMT:11126144:Item:CSM-323&amp;emcid=NA:Item" xr:uid="{F8890EBD-B4D4-4079-81BA-C5A653813A7C}"/>
    <hyperlink ref="H59" r:id="rId56" display="https://www.grainger.com/product/40TW73?RIID=51819294775&amp;GID=729415832&amp;mid=OrderConfirmation_REST&amp;rfe=846af193db4b9fe8ece7af7398118558bf0aa4ab99f90e9dc4c14e3389ebe8a4&amp;gucid=EMT:11126144:Item:CSM-323&amp;emcid=NA:Item" xr:uid="{C523C630-D550-4B40-8975-7EC5C251B13B}"/>
    <hyperlink ref="H60" r:id="rId57" display="https://www.grainger.com/product/30PK27?RIID=51819294775&amp;GID=729415832&amp;mid=OrderConfirmation_REST&amp;rfe=846af193db4b9fe8ece7af7398118558bf0aa4ab99f90e9dc4c14e3389ebe8a4&amp;gucid=EMT:11126144:Item:CSM-323&amp;emcid=NA:Item" xr:uid="{C1F1A456-5DCA-47C3-8872-6BB33C64AC9E}"/>
    <hyperlink ref="H61" r:id="rId58" display="https://www.grainger.com/product/854J80?RIID=51819294775&amp;GID=729415832&amp;mid=OrderConfirmation_REST&amp;rfe=846af193db4b9fe8ece7af7398118558bf0aa4ab99f90e9dc4c14e3389ebe8a4&amp;gucid=EMT:11126144:Item:CSM-323&amp;emcid=NA:Item" xr:uid="{B9245834-CD13-49B4-959C-B96EBF21600B}"/>
    <hyperlink ref="H62" r:id="rId59" display="https://www.grainger.com/product/39F868?RIID=51819294775&amp;GID=729415832&amp;mid=OrderConfirmation_REST&amp;rfe=44f11199fadbcf147fda723c62c47a7f8f9c1ba8a466d6b3c04e15e2f492c78d&amp;gucid=EMT:11126144:Item:CSM-323&amp;emcid=NA:Item" xr:uid="{D32E0952-766C-4958-9553-35560A11642A}"/>
    <hyperlink ref="H63" r:id="rId60" display="https://www.grainger.com/product/4AUW6?RIID=51819294775&amp;GID=729415832&amp;mid=OrderConfirmation_REST&amp;rfe=44f11199fadbcf147fda723c62c47a7f8f9c1ba8a466d6b3c04e15e2f492c78d&amp;gucid=EMT:11126144:Item:CSM-323&amp;emcid=NA:Item" xr:uid="{E6E5DFB5-4C89-4DC2-B1CD-38B1B9C80719}"/>
    <hyperlink ref="H64" r:id="rId61" display="https://www.grainger.com/product/22FP84?RIID=51819294775&amp;GID=729415832&amp;mid=OrderConfirmation_REST&amp;rfe=44f11199fadbcf147fda723c62c47a7f8f9c1ba8a466d6b3c04e15e2f492c78d&amp;gucid=EMT:11126144:Item:CSM-323&amp;emcid=NA:Item" xr:uid="{9B067A54-F5BA-4957-BA1F-63977CD5BCDC}"/>
    <hyperlink ref="H65" r:id="rId62" display="https://www.grainger.com/product/6AFL8?RIID=51819294775&amp;GID=729415832&amp;mid=OrderConfirmation_REST&amp;rfe=e26a9d15005b14a2115fa5cf04e2db1f77908f435ad573cd00d2c46a5d28a1da&amp;gucid=EMT:11126144:Item:CSM-323&amp;emcid=NA:Item" xr:uid="{9715F4E9-4B1A-4A83-B457-4F15AF84E964}"/>
    <hyperlink ref="H66" r:id="rId63" display="https://www.grainger.com/product/60WH38?RIID=51819294775&amp;GID=729415832&amp;mid=OrderConfirmation_REST&amp;rfe=e26a9d15005b14a2115fa5cf04e2db1f77908f435ad573cd00d2c46a5d28a1da&amp;gucid=EMT:11126144:Item:CSM-323&amp;emcid=NA:Item" xr:uid="{7533B952-84E6-4E7E-9B84-A540A7BDE096}"/>
    <hyperlink ref="H67" r:id="rId64" display="https://www.grainger.com/product/13Y906?RIID=51819294775&amp;GID=729415832&amp;mid=OrderConfirmation_REST&amp;rfe=e26a9d15005b14a2115fa5cf04e2db1f77908f435ad573cd00d2c46a5d28a1da&amp;gucid=EMT:11126144:Item:CSM-323&amp;emcid=NA:Item" xr:uid="{A1042434-4E67-46C0-AF4B-507AE16B44E0}"/>
    <hyperlink ref="H68" r:id="rId65" display="https://www.grainger.com/product/6AFP2?RIID=51819294775&amp;GID=729415832&amp;mid=OrderConfirmation_REST&amp;rfe=e26a9d15005b14a2115fa5cf04e2db1f77908f435ad573cd00d2c46a5d28a1da&amp;gucid=EMT:11126144:Item:CSM-323&amp;emcid=NA:Item" xr:uid="{8A76C885-01CE-4118-A2E5-A1DE46012FBF}"/>
    <hyperlink ref="H69" r:id="rId66" display="https://www.grainger.com/product/1RVC2?RIID=51819294775&amp;GID=729415832&amp;mid=OrderConfirmation_REST&amp;rfe=e26a9d15005b14a2115fa5cf04e2db1f77908f435ad573cd00d2c46a5d28a1da&amp;gucid=EMT:11126144:Item:CSM-323&amp;emcid=NA:Item" xr:uid="{B39D3952-6EAC-4124-BDDF-48775C45FF24}"/>
    <hyperlink ref="H70" r:id="rId67" display="https://www.grainger.com/product/1RVC1?RIID=51819294775&amp;GID=729415832&amp;mid=OrderConfirmation_REST&amp;rfe=e26a9d15005b14a2115fa5cf04e2db1f77908f435ad573cd00d2c46a5d28a1da&amp;gucid=EMT:11126144:Item:CSM-323&amp;emcid=NA:Item" xr:uid="{F9C51FCF-3C9E-420F-BC5B-EED016F3EBE6}"/>
    <hyperlink ref="H71" r:id="rId68" display="https://www.grainger.com/product/793VU2?RIID=51819294775&amp;GID=729415832&amp;mid=OrderConfirmation_REST&amp;rfe=339eda075223b1db0bdb6be138010ac778453f7afa08f51021b907c8267622ac&amp;gucid=EMT:11126144:Item:CSM-323&amp;emcid=NA:Item" xr:uid="{87E3C8A4-0381-4448-A0AF-8633B3418151}"/>
    <hyperlink ref="H72" r:id="rId69" display="https://www.grainger.com/product/31JG34?RIID=51819294775&amp;GID=729415832&amp;mid=OrderConfirmation_REST&amp;rfe=339eda075223b1db0bdb6be138010ac778453f7afa08f51021b907c8267622ac&amp;gucid=EMT:11126144:Item:CSM-323&amp;emcid=NA:Item" xr:uid="{47DF5B88-56E2-4F1F-8337-D7EA8F229899}"/>
    <hyperlink ref="H73" r:id="rId70" display="https://www.grainger.com/product/5YE11?RIID=51819294775&amp;GID=729415832&amp;mid=OrderConfirmation_REST&amp;rfe=339eda075223b1db0bdb6be138010ac778453f7afa08f51021b907c8267622ac&amp;gucid=EMT:11126144:Item:CSM-323&amp;emcid=NA:Item" xr:uid="{C94D71CA-0B95-4E70-B860-4CC9861E601F}"/>
    <hyperlink ref="H74" r:id="rId71" display="https://www.grainger.com/product/22UG07?RIID=51819294775&amp;GID=729415832&amp;mid=OrderConfirmation_REST&amp;rfe=339eda075223b1db0bdb6be138010ac778453f7afa08f51021b907c8267622ac&amp;gucid=EMT:11126144:Item:CSM-323&amp;emcid=NA:Item" xr:uid="{CAF3E616-7898-4D08-A75A-5F5EB452EF76}"/>
    <hyperlink ref="H75" r:id="rId72" display="https://www.grainger.com/product/3AUW4?RIID=51819294775&amp;GID=729415832&amp;mid=OrderConfirmation_REST&amp;rfe=339eda075223b1db0bdb6be138010ac778453f7afa08f51021b907c8267622ac&amp;gucid=EMT:11126144:Item:CSM-323&amp;emcid=NA:Item" xr:uid="{28A04F2E-D806-464B-BAB0-9903D8F45234}"/>
    <hyperlink ref="H76" r:id="rId73" display="https://www.grainger.com/product/30F070?RIID=51819294775&amp;GID=729415832&amp;mid=OrderConfirmation_REST&amp;rfe=9be46b296dc7112876cd89c7aa512d9b14c9ff7a436270bdf4adc81a35dc5fc1&amp;gucid=EMT:11126144:Item:CSM-323&amp;emcid=NA:Item" xr:uid="{0AF9338B-17B5-4FE9-8C75-C9B10C5CCC7C}"/>
    <hyperlink ref="H77" r:id="rId74" display="https://www.grainger.com/product/31JG71?RIID=51819294775&amp;GID=729415832&amp;mid=OrderConfirmation_REST&amp;rfe=9be46b296dc7112876cd89c7aa512d9b14c9ff7a436270bdf4adc81a35dc5fc1&amp;gucid=EMT:11126144:Item:CSM-323&amp;emcid=NA:Item" xr:uid="{444C5A03-EB07-4F2D-8DEB-915E09F9E1C4}"/>
    <hyperlink ref="H78" r:id="rId75" display="https://www.grainger.com/product/10W663?RIID=51819294775&amp;GID=729415832&amp;mid=OrderConfirmation_REST&amp;rfe=9be46b296dc7112876cd89c7aa512d9b14c9ff7a436270bdf4adc81a35dc5fc1&amp;gucid=EMT:11126144:Item:CSM-323&amp;emcid=NA:Item" xr:uid="{6D42252A-877D-4557-A3EB-2682BE2102F6}"/>
    <hyperlink ref="H79" r:id="rId76" display="https://www.grainger.com/product/6MX55?RIID=51819294775&amp;GID=729415832&amp;mid=OrderConfirmation_REST&amp;rfe=ac232cc7b935c7736f4435c50323bb59f2921ffb94961f879b251578be9b251d&amp;gucid=EMT:11126144:Item:CSM-323&amp;emcid=NA:Item" xr:uid="{6376A379-AC0A-428E-8B9C-25D91B0557FF}"/>
    <hyperlink ref="H80" r:id="rId77" display="https://www.grainger.com/product/6MX66?RIID=51819294775&amp;GID=729415832&amp;mid=OrderConfirmation_REST&amp;rfe=ac232cc7b935c7736f4435c50323bb59f2921ffb94961f879b251578be9b251d&amp;gucid=EMT:11126144:Item:CSM-323&amp;emcid=NA:Item" xr:uid="{6DCD9F2F-2B44-4A4F-86FD-FB5EE7965CA8}"/>
    <hyperlink ref="H81" r:id="rId78" display="https://www.grainger.com/product/30WH23?RIID=51819294775&amp;GID=729415832&amp;mid=OrderConfirmation_REST&amp;rfe=ac232cc7b935c7736f4435c50323bb59f2921ffb94961f879b251578be9b251d&amp;gucid=EMT:11126144:Item:CSM-323&amp;emcid=NA:Item" xr:uid="{B28D2376-9431-4062-8DE4-F1B68EBEFFC6}"/>
    <hyperlink ref="H82" r:id="rId79" display="https://www.grainger.com/product/782G46?RIID=51819294775&amp;GID=729415832&amp;mid=OrderConfirmation_REST&amp;rfe=ac232cc7b935c7736f4435c50323bb59f2921ffb94961f879b251578be9b251d&amp;gucid=EMT:11126144:Item:CSM-323&amp;emcid=NA:Item" xr:uid="{98D4E0F8-E1B7-4E31-8B85-ACAD6433ABF6}"/>
    <hyperlink ref="H83" r:id="rId80" display="https://www.grainger.com/product/1RTU2?RIID=51819294775&amp;GID=729415832&amp;mid=OrderConfirmation_REST&amp;rfe=ac232cc7b935c7736f4435c50323bb59f2921ffb94961f879b251578be9b251d&amp;gucid=EMT:11126144:Item:CSM-323&amp;emcid=NA:Item" xr:uid="{C57E3FCE-8FD5-4875-95D8-7981509E973A}"/>
    <hyperlink ref="H84" r:id="rId81" display="https://www.grainger.com/product/18Z758?RIID=51819294775&amp;GID=729415832&amp;mid=OrderConfirmation_REST&amp;rfe=ac232cc7b935c7736f4435c50323bb59f2921ffb94961f879b251578be9b251d&amp;gucid=EMT:11126144:Item:CSM-323&amp;emcid=NA:Item" xr:uid="{65D273A0-82ED-46CD-8983-8951C4B9D412}"/>
    <hyperlink ref="H85" r:id="rId82" display="https://www.grainger.com/product/793MY3?RIID=51819294775&amp;GID=729415832&amp;mid=OrderConfirmation_REST&amp;rfe=ac232cc7b935c7736f4435c50323bb59f2921ffb94961f879b251578be9b251d&amp;gucid=EMT:11126144:Item:CSM-323&amp;emcid=NA:Item" xr:uid="{260D1CFC-1121-4247-BCA0-42F206C7968B}"/>
    <hyperlink ref="H86" r:id="rId83" display="https://www.grainger.com/product/5P553?RIID=51819294775&amp;GID=729415832&amp;mid=OrderConfirmation_REST&amp;rfe=ac232cc7b935c7736f4435c50323bb59f2921ffb94961f879b251578be9b251d&amp;gucid=EMT:11126144:Item:CSM-323&amp;emcid=NA:Item" xr:uid="{F68E6DB2-7159-422C-A4FE-47B4E15FCAF2}"/>
    <hyperlink ref="H87" r:id="rId84" display="https://www.ebay.com/itm/156665159304?mkevt=1&amp;mkpid=0&amp;emsid=e11401.m144671.l197929&amp;mkcid=7&amp;ch=osgood&amp;euid=a26e1d74063a472780504955de39c54a&amp;bu=45863828724&amp;osub=-1~1&amp;crd=20260413064227&amp;segname=11401" xr:uid="{8C62532D-D113-433E-AC78-2068961CACCB}"/>
    <hyperlink ref="H88" r:id="rId85" display="https://www.grainger.com/product/46M483?RIID=51819294775&amp;GID=729415832&amp;mid=OrderConfirmation_REST&amp;rfe=6d4e1d7881c4014dc580a65ce33a0287e6d4e842f558a81fadd5dcde7a752909&amp;gucid=EMT:11126144:Item:CSM-323&amp;emcid=NA:Item" xr:uid="{BE525BB6-11B3-4A8B-AEF1-52F9A3CDD7F7}"/>
    <hyperlink ref="H89" r:id="rId86" display="https://www.grainger.com/product/1VFX8?RIID=51819294775&amp;GID=729415832&amp;mid=OrderConfirmation_REST&amp;rfe=6d4e1d7881c4014dc580a65ce33a0287e6d4e842f558a81fadd5dcde7a752909&amp;gucid=EMT:11126144:Item:CSM-323&amp;emcid=NA:Item" xr:uid="{460DB0C6-014B-408D-A50E-7C7CB6F31C51}"/>
    <hyperlink ref="H90" r:id="rId87" display="https://www.dwyeromega.com/en-us/oem-style-compact-pressure-transmitters/PX119/p/PX159A-060G5V" xr:uid="{B046FF95-BF93-46C9-B8CE-FB723F36F53A}"/>
    <hyperlink ref="H91" r:id="rId88" display="https://www.grainger.com/product/Hex-Tap-Bolt-Stainless-Steel-41UH04?gucid=n:n:em:owned:wwg:deliveryConfirmation:apz_1&amp;emcid=body:pdpurl" xr:uid="{5ACA225F-14EA-4C12-8992-27C2A205D0A2}"/>
    <hyperlink ref="H99" r:id="rId89" xr:uid="{66B68E33-6FB6-4B9E-8DEE-AD4543BA3948}"/>
    <hyperlink ref="H98" r:id="rId90" display="https://www.dwyeromega.com/en-us/oem-style-compact-pressure-transmitters/PX119/p/PX159A-060G5V" xr:uid="{E0383BBC-B224-42C5-8E0D-F57DE49C5FA3}"/>
    <hyperlink ref="H100" r:id="rId91" xr:uid="{A3D63FAB-C850-40A1-A637-DF41091272C8}"/>
    <hyperlink ref="H101" r:id="rId92" display="https://www.grainger.com/product/20XM58?RIID=51819294775&amp;GID=729415832&amp;mid=OrderConfirmation_REST&amp;rfe=5fbed57f928e0d20c3753de78a2b9a38ffd20234e126526a2f6d6b4fe4e772db&amp;gucid=EMT:11126144:Item:CSM-323&amp;emcid=NA:Item" xr:uid="{2C07356E-8DE4-40F2-A1AD-4E8492786388}"/>
    <hyperlink ref="H102" r:id="rId93" xr:uid="{94CC04D7-EB9A-450B-BB5C-C756BC4DE898}"/>
    <hyperlink ref="H103" r:id="rId94" display="https://www.grainger.com/product/IGUS-Flanged-Sleeve-Bearing-Polymer-2NCK6" xr:uid="{83384CCF-7FBA-4E7B-9A1D-1C877A885273}"/>
    <hyperlink ref="H104" r:id="rId95" display="https://www.grainger.com/product/Hex-Nut-Std-Hex-2FE69" xr:uid="{85183601-0793-4417-9C08-9D53A5FEB9B5}"/>
    <hyperlink ref="H105" r:id="rId96" display="https://www.grainger.com/product/Mil-Spec-Flat-Washer-18-8-2DNV3" xr:uid="{FC3AB918-B994-4AB5-AFC0-90ECDBC2A4C8}"/>
    <hyperlink ref="H106" r:id="rId97" xr:uid="{FDEFAFD3-3687-4641-964A-8BC9B3E42512}"/>
    <hyperlink ref="H95" r:id="rId98" xr:uid="{29622D1D-FB83-4317-A033-D7DD9D94A271}"/>
    <hyperlink ref="H94" r:id="rId99" xr:uid="{5FC8DB1C-6249-4551-B238-6394EA039EB9}"/>
    <hyperlink ref="H107" r:id="rId100" display="https://www.grainger.com/product/BANJO-Inline-Strainer-Polypropylene-3ELX2" xr:uid="{5DDCF04D-0B2B-4400-9BF3-CBBD33627CF9}"/>
    <hyperlink ref="H108" r:id="rId101" display="https://www.grainger.com/product/BELL-GOSSETT-Water-Pressure-Reducing-Valve-6LFA3" xr:uid="{704D45CE-3BF8-44FB-A2F9-FBD42F90D381}"/>
    <hyperlink ref="H109" r:id="rId102" xr:uid="{DA2A078E-95DA-4F11-A662-702B09E6F14A}"/>
    <hyperlink ref="H110" r:id="rId103" display="https://www.grainger.com/product/803H45?RIID=51819294775&amp;GID=729415832&amp;mid=OrderConfirmation_REST&amp;rfe=a98025ace82cfe3e9959eb0e2dd5f9501b4a446af591eb4540e15aea507809d7&amp;gucid=EMT:11126144:Item:CSM-323&amp;emcid=NA:Item" xr:uid="{05215C5A-3A93-40D1-9E83-5B1ABEB0BD2B}"/>
    <hyperlink ref="H111" r:id="rId104" display="https://www.grainger.com/product/20KF99?RIID=51819294775&amp;GID=729415832&amp;mid=OrderConfirmation_REST&amp;rfe=a98025ace82cfe3e9959eb0e2dd5f9501b4a446af591eb4540e15aea507809d7&amp;gucid=EMT:11126144:Item:CSM-323&amp;emcid=NA:Item" xr:uid="{0F353E44-E7EA-4190-9112-90CB38990103}"/>
    <hyperlink ref="H112" r:id="rId105" xr:uid="{9B1F77AB-62D5-44F5-A9D0-42268AD5ABAC}"/>
    <hyperlink ref="H113" r:id="rId106" display="https://www.grainger.com/product/Compression-Fitting-Coupling-20XM55" xr:uid="{EBAF2888-369A-453C-B808-5B36A12DBEF6}"/>
    <hyperlink ref="H114" r:id="rId107" xr:uid="{2F0D0D38-652B-44CC-BB9F-CAB0DB93A115}"/>
    <hyperlink ref="H121" r:id="rId108" display="https://www.grainger.com/product/20KF99?RIID=51819294775&amp;GID=729415832&amp;mid=OrderConfirmation_REST&amp;rfe=a98025ace82cfe3e9959eb0e2dd5f9501b4a446af591eb4540e15aea507809d7&amp;gucid=EMT:11126144:Item:CSM-323&amp;emcid=NA:Item" xr:uid="{2C0D4D21-381D-4DE0-8627-C5CDD08AC966}"/>
    <hyperlink ref="H115" r:id="rId109" display="https://www.digikey.com/en/products/detail/advantech-corporation/bb-mdr-40-48/7426468" xr:uid="{65E538F7-DA33-4388-B23E-404C55813446}"/>
    <hyperlink ref="H120" r:id="rId110" display="https://www.grainger.com/product/Metal-Pipe-Flange-Flange-60WJ74" xr:uid="{851EBC08-2ED2-4124-B23F-E667A9F9321B}"/>
    <hyperlink ref="H117" r:id="rId111" display="https://www.digikey.com/en/products/detail/pulse-egston/N1HLR-2700MV-KA-5V/29410171?gclid=d0e0296f6f231fb67a4543cf4f2a21d9&amp;gclsrc=3p.ds&amp;msclkid=d0e0296f6f231fb67a4543cf4f2a21d9" xr:uid="{54E9C926-24F1-4758-853F-BD129F6EBDFF}"/>
    <hyperlink ref="I116" r:id="rId112" display="https://www.supplyhouse.com/Functional-Devices-TIB100A-Transformer-96VA-120-to-24-Vac-Circuit-Breaker-DIN-Rail-Mount?msockid=277021126b6a6b6a3cca367a6a576a6d" xr:uid="{0A2C36B1-5125-4F51-8575-F092A696C03C}"/>
    <hyperlink ref="H116" r:id="rId113" display="https://www.digikey.com/en/products/detail/aim-dynamics/TIB100A/28736836?msockid=277021126b6a6b6a3cca367a6a576a6d" xr:uid="{74179639-4519-4C59-BD73-C785247C9073}"/>
    <hyperlink ref="H118" r:id="rId114" display="https://us.rs-online.com/product/honeywell/csns300m-500/71240882/" xr:uid="{D55F2F03-1317-42CE-8E65-652BDD02A6D3}"/>
  </hyperlinks>
  <pageMargins left="0.7" right="0.7" top="0.75" bottom="0.75" header="0.3" footer="0.3"/>
  <pageSetup orientation="portrait" r:id="rId115"/>
  <tableParts count="1">
    <tablePart r:id="rId1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Drew Huebner</cp:lastModifiedBy>
  <cp:lastPrinted>2025-05-01T19:35:57Z</cp:lastPrinted>
  <dcterms:created xsi:type="dcterms:W3CDTF">2025-03-06T14:44:50Z</dcterms:created>
  <dcterms:modified xsi:type="dcterms:W3CDTF">2026-10-15T16:44:26Z</dcterms:modified>
</cp:coreProperties>
</file>