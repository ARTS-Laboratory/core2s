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d1b07ceb518fe/Documents/GitHub/core2s/resources/v0.1.2/design_documents/"/>
    </mc:Choice>
  </mc:AlternateContent>
  <xr:revisionPtr revIDLastSave="23" documentId="13_ncr:1_{55AB40B0-6C17-4ECF-ABEA-EBBE2E37FDFC}" xr6:coauthVersionLast="47" xr6:coauthVersionMax="47" xr10:uidLastSave="{37B114D0-B60A-46D7-8DDB-4A7D5D693ACF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1" i="1" l="1"/>
  <c r="F122" i="1"/>
  <c r="F123" i="1"/>
  <c r="F124" i="1"/>
  <c r="F125" i="1"/>
  <c r="F126" i="1"/>
  <c r="F127" i="1"/>
  <c r="F128" i="1"/>
  <c r="F116" i="1"/>
  <c r="F115" i="1"/>
  <c r="F117" i="1"/>
  <c r="F118" i="1"/>
  <c r="F119" i="1"/>
  <c r="F120" i="1"/>
  <c r="F114" i="1"/>
  <c r="F112" i="1"/>
  <c r="F109" i="1"/>
  <c r="F107" i="1"/>
  <c r="F108" i="1"/>
  <c r="F110" i="1"/>
  <c r="F111" i="1"/>
  <c r="F113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<sst xmlns="http://schemas.openxmlformats.org/spreadsheetml/2006/main" count="465" uniqueCount="314">
  <si>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</si>
  <si>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</si>
  <si>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</si>
  <si>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</si>
  <si>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</si>
  <si>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</si>
  <si>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</si>
  <si>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</si>
  <si>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</si>
  <si>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</si>
  <si>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</si>
  <si>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</si>
  <si>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</si>
  <si>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</si>
  <si>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</si>
  <si>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</si>
  <si>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</si>
  <si>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</si>
  <si>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</si>
  <si>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</si>
  <si>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</si>
  <si>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</si>
  <si>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</si>
  <si>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</si>
  <si>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</si>
  <si>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</si>
  <si>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</si>
  <si>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</si>
  <si>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</si>
  <si>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</si>
  <si>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</si>
  <si>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</si>
  <si>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</si>
  <si>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</si>
  <si>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</si>
  <si>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</si>
  <si>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</si>
  <si>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</si>
  <si>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</si>
  <si>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</si>
  <si>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</si>
  <si>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</si>
  <si>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</si>
  <si>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</si>
  <si>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</si>
  <si>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</si>
  <si>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</si>
  <si>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</si>
  <si>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</si>
  <si>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</si>
  <si>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</si>
  <si>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</si>
  <si>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</si>
  <si>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</si>
  <si>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</si>
  <si>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</si>
  <si>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</si>
  <si>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</si>
  <si>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</si>
  <si>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</si>
  <si>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</si>
  <si>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</si>
  <si>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</si>
  <si>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</si>
  <si>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</si>
  <si>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</si>
  <si>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</si>
  <si>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</si>
  <si>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</si>
  <si>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</si>
  <si>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</si>
  <si>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</si>
  <si>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</si>
  <si>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</si>
  <si>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</si>
  <si>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</si>
  <si>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</si>
  <si>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</si>
  <si>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</si>
  <si>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</si>
  <si>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</si>
  <si>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</si>
  <si>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</si>
  <si>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</si>
  <si>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</si>
  <si>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</si>
  <si>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</si>
  <si>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</si>
  <si>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</si>
  <si>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</si>
  <si>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</si>
  <si>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</si>
  <si>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</si>
  <si>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</si>
  <si>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</si>
  <si>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</si>
  <si>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</si>
  <si>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</si>
  <si>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</si>
  <si>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</si>
  <si>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</si>
  <si>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</si>
  <si>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</si>
  <si>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</si>
  <si>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</si>
  <si>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</si>
  <si>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</si>
  <si>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</si>
  <si>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</si>
  <si>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</si>
  <si>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</si>
  <si>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</si>
  <si>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</si>
  <si>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</si>
  <si>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</si>
  <si>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</si>
  <si>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</si>
  <si>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</si>
  <si>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</si>
  <si>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</si>
  <si>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</si>
  <si>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</si>
  <si>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</si>
  <si>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</si>
  <si>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</si>
  <si>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</si>
  <si>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</si>
  <si>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</si>
  <si>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</si>
  <si>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</si>
  <si>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</si>
  <si>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</si>
  <si>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</si>
  <si>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</si>
  <si>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</si>
  <si>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</si>
  <si>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</si>
  <si>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</si>
  <si>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</si>
  <si>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</si>
  <si>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</si>
  <si>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</si>
  <si>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</si>
  <si>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</si>
  <si>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</si>
  <si>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</si>
  <si>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</si>
  <si>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</si>
  <si>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</si>
  <si>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</si>
  <si>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</si>
  <si>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</si>
  <si>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</si>
  <si>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</si>
  <si>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</si>
  <si>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</si>
  <si>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</si>
  <si>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</si>
  <si>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</si>
  <si>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</si>
  <si>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</si>
  <si>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</si>
  <si>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</si>
  <si>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</si>
  <si>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</si>
  <si>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</si>
  <si>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</si>
  <si>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</si>
  <si>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</si>
  <si>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</si>
  <si>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</si>
  <si>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</si>
  <si>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</si>
  <si>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</si>
  <si>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</si>
  <si>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</si>
  <si>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</si>
  <si>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</si>
  <si>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</si>
  <si>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</si>
  <si>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</si>
  <si>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</si>
  <si>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</si>
  <si>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</si>
  <si>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</si>
  <si>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</si>
  <si>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</si>
  <si>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</si>
  <si>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</si>
  <si>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</si>
  <si>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</si>
  <si>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</si>
  <si>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</si>
  <si>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</si>
  <si>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</si>
  <si>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</si>
  <si>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</si>
  <si>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</si>
  <si>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</si>
  <si>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</si>
  <si>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</si>
  <si>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</si>
  <si>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</si>
  <si>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</si>
  <si>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</si>
  <si>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</si>
  <si>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</si>
  <si>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</si>
  <si>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</si>
  <si>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</si>
  <si>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</si>
  <si>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</si>
  <si>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</si>
  <si>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</si>
  <si>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</si>
  <si>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</si>
  <si>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</si>
  <si>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</si>
  <si>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</si>
  <si>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</si>
  <si>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</si>
  <si>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</si>
  <si>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</si>
  <si>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</si>
  <si>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</si>
  <si>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</si>
  <si>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</si>
  <si>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</si>
  <si>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</si>
  <si>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</si>
  <si>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</si>
  <si>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</si>
  <si>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</si>
  <si>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</si>
  <si>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</si>
  <si>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</si>
  <si>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</si>
  <si>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</si>
  <si>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</si>
  <si>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</si>
  <si>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</si>
  <si>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</si>
  <si>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</si>
  <si>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</si>
  <si>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</si>
  <si>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</si>
  <si>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</si>
  <si>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</si>
  <si>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</si>
  <si>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</si>
  <si>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</si>
  <si>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</si>
  <si>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</si>
  <si>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</si>
  <si>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</si>
  <si>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</si>
  <si>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</si>
  <si>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</si>
  <si>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</si>
  <si>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</si>
  <si>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</si>
  <si>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</si>
  <si>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</si>
  <si>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</si>
  <si>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</si>
  <si>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</si>
  <si>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</si>
  <si>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</si>
  <si>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</si>
  <si>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</si>
  <si>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</si>
  <si>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</si>
  <si>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</si>
  <si>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</si>
  <si>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</si>
  <si>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</si>
  <si>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</si>
  <si>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</si>
  <si>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</si>
  <si>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</si>
  <si>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</si>
  <si>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</si>
  <si>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</si>
  <si>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804Z55</t>
  </si>
  <si>
    <t>https://www.grainger.com/product/APOLLO-Relief-Valve-FNPT-x-FNPT-804Z55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</si>
  <si>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</si>
  <si>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</si>
  <si>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</si>
  <si>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</si>
  <si>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</si>
  <si>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</si>
  <si>
    <t xml:space="preserve">Nichrome Rod </t>
  </si>
  <si>
    <t xml:space="preserve">Pressure Relief Valve </t>
  </si>
  <si>
    <t>Pressure Reducer Valve</t>
  </si>
  <si>
    <t xml:space="preserve">Water Filter </t>
  </si>
  <si>
    <t>3/8 in OD x 3/4 in Pipe Fitting Size, Brass, Compression Fitting Coupling - 20XM55|700068-0612 - Grainger</t>
  </si>
  <si>
    <t>APPROVED VENDOR Compression Fitting Coupling: 3/8 in OD x 3/4 in Pipe Fitting Size, Brass</t>
  </si>
  <si>
    <t>20XM55</t>
  </si>
  <si>
    <t>Lug Terminal</t>
  </si>
  <si>
    <t>Compression Lug: 3/8 in Stud Size, 4/0 AWG – 4/0 AWG For Wire Sizes, Stranded Wire Type, Std, Copper</t>
  </si>
  <si>
    <t>24C366</t>
  </si>
  <si>
    <t>3/8 in Stud Size, 4/0 AWG – 4/0 AWG For Wire Sizes, Compression Lug - 24C366|24C366 - Grainger</t>
  </si>
  <si>
    <t>NiChrome Rod joining Compression Fitting</t>
  </si>
  <si>
    <t>BB-MDR-40-48 Advantech Corporation | Industrial, DIN Rail Power Supplies | DigiKey</t>
  </si>
  <si>
    <t>MeanWell 48V Power Supply</t>
  </si>
  <si>
    <t>MDR-40-48 100-240VAC</t>
  </si>
  <si>
    <t>Flange, 304/304L Stainless Steel, Metal Pipe Flange - 60WJ74|4381000040 - Grainger</t>
  </si>
  <si>
    <t>Flange  Blind ("plug")</t>
  </si>
  <si>
    <t>Metal Pipe Flange: Flange, 304/304L Stainless Steel, 1 1/2 in Pipe Size, Class 150, Raised, 285 psi</t>
  </si>
  <si>
    <t>500A Current Sensor</t>
  </si>
  <si>
    <t>N1HLR-2700MV/KA-5V PULSE Egston | Current Sensors | DigiKey</t>
  </si>
  <si>
    <t>CURRENT SENS ROGOWSKI INTEGR 5V</t>
  </si>
  <si>
    <t>6385-N1HLR-2700MV/KA-5V-ND</t>
  </si>
  <si>
    <t>60WJ74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</si>
</sst>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0" xfId="0" applyAlignment="1">
      <alignment vertical="top"/>
    </xf>
    <xf numFmtId="0" fontId="11" fillId="0" borderId="0" xfId="0" applyFont="1" applyAlignment="1">
      <alignment vertical="top"/>
    </xf>
    <xf numFmtId="0" fontId="1" fillId="0" borderId="2" xfId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0" xfId="0" applyFon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1" fillId="0" borderId="0" xfId="1" applyFill="1"/>
    <xf numFmtId="0" fontId="1" fillId="0" borderId="0" xfId="1" applyFill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horizontal="center" vertical="top"/>
    </xf>
    <xf numFmtId="164" fontId="11" fillId="0" borderId="0" xfId="0" applyNumberFormat="1" applyFont="1" applyAlignment="1">
      <alignment vertical="top"/>
    </xf>
    <xf numFmtId="0" fontId="12" fillId="0" borderId="0" xfId="1" applyFont="1" applyFill="1" applyAlignment="1">
      <alignment vertical="top"/>
    </xf>
    <xf numFmtId="0" fontId="0" fillId="0" borderId="1" xfId="0" applyBorder="1" applyAlignment="1">
      <alignment horizontal="left" vertical="top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0" fillId="0" borderId="1" xfId="0" applyBorder="1" applyAlignment="1">
      <alignment horizontal="center" vertical="top"/>
    </xf>
    <xf numFmtId="164" fontId="0" fillId="0" borderId="0" xfId="0" applyNumberFormat="1" applyAlignment="1">
      <alignment vertical="top"/>
    </xf>
    <xf numFmtId="0" fontId="1" fillId="0" borderId="0" xfId="1" applyFill="1" applyAlignment="1">
      <alignment vertical="top"/>
    </xf>
    <xf numFmtId="0" fontId="14" fillId="0" borderId="0" xfId="0" applyFont="1"/>
    <xf numFmtId="0" fontId="0" fillId="0" borderId="1" xfId="0" applyFont="1" applyBorder="1" applyAlignment="1">
      <alignment horizontal="left"/>
    </xf>
    <xf numFmtId="0" fontId="0" fillId="0" borderId="3" xfId="0" applyFont="1" applyBorder="1" applyAlignment="1">
      <alignment horizontal="left"/>
    </xf>
    <xf numFmtId="0" fontId="0" fillId="0" borderId="0" xfId="0" applyFont="1" applyBorder="1" applyAlignment="1">
      <alignment vertical="top"/>
    </xf>
    <xf numFmtId="0" fontId="0" fillId="0" borderId="0" xfId="0" applyFont="1" applyBorder="1" applyAlignment="1">
      <alignment horizontal="left"/>
    </xf>
    <xf numFmtId="164" fontId="0" fillId="0" borderId="0" xfId="0" applyNumberFormat="1" applyBorder="1" applyAlignment="1">
      <alignment vertical="center"/>
    </xf>
    <xf numFmtId="0" fontId="0" fillId="0" borderId="0" xfId="0" applyBorder="1"/>
    <xf numFmtId="0" fontId="0" fillId="0" borderId="0" xfId="0" applyBorder="1" applyAlignment="1">
      <alignment horizontal="left"/>
    </xf>
    <xf numFmtId="0" fontId="1" fillId="0" borderId="0" xfId="1" applyBorder="1" applyAlignment="1">
      <alignment horizontal="left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28" totalsRowShown="0" tableBorderDxfId="7">
  <autoFilter ref="A1:K128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12" Type="http://schemas.openxmlformats.org/officeDocument/2006/relationships/hyperlink" Target="https://www.digikey.com/en/products/detail/pulse-egston/N1HLR-2700MV-KA-5V/29410171?gclid=d0e0296f6f231fb67a4543cf4f2a21d9&amp;gclsrc=3p.ds&amp;msclkid=d0e0296f6f231fb67a4543cf4f2a21d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07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113" Type="http://schemas.openxmlformats.org/officeDocument/2006/relationships/printerSettings" Target="../printerSettings/printerSettings1.bin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108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hyperlink" Target="https://www.grainger.com/product/Compression-Fitting-Coupling-20XM55" TargetMode="External"/><Relationship Id="rId114" Type="http://schemas.openxmlformats.org/officeDocument/2006/relationships/table" Target="../tables/table1.xm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109" Type="http://schemas.openxmlformats.org/officeDocument/2006/relationships/hyperlink" Target="https://www.grainger.com/product/Compression-Lug-3-8-in-Stud-24C366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110" Type="http://schemas.openxmlformats.org/officeDocument/2006/relationships/hyperlink" Target="https://www.digikey.com/en/products/detail/advantech-corporation/bb-mdr-40-48/7426468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111" Type="http://schemas.openxmlformats.org/officeDocument/2006/relationships/hyperlink" Target="https://www.grainger.com/product/Metal-Pipe-Flange-Flange-60WJ7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28"/>
  <sheetViews>
    <sheetView tabSelected="1" topLeftCell="A98" zoomScale="85" zoomScaleNormal="85" workbookViewId="0">
      <selection activeCell="E125" sqref="E125"/>
    </sheetView>
  </sheetViews>
  <sheetFormatPr defaultColWidth="8.6640625" defaultRowHeight="14.4" x14ac:dyDescent="0.3"/>
  <cols>
    <col min="1" max="1" width="39" customWidth="1"/>
    <col min="2" max="2" width="33.109375" customWidth="1"/>
    <col min="3" max="3" width="16.44140625" bestFit="1" customWidth="1"/>
    <col min="4" max="4" width="15.6640625" bestFit="1" customWidth="1"/>
    <col min="5" max="5" width="13.44140625" bestFit="1" customWidth="1"/>
    <col min="6" max="6" width="13.44140625" customWidth="1"/>
    <col min="7" max="7" width="13" customWidth="1"/>
    <col min="8" max="8" width="79" bestFit="1" customWidth="1"/>
    <col min="9" max="9" width="45.44140625" bestFit="1" customWidth="1"/>
    <col min="10" max="10" width="83.44140625" customWidth="1"/>
    <col min="11" max="11" width="62.44140625" customWidth="1"/>
    <col min="12" max="12" width="55.6640625" customWidth="1"/>
    <col min="13" max="13" width="51" customWidth="1"/>
  </cols>
  <sheetData>
    <row r="1" spans="1:13" ht="15" customHeight="1" x14ac:dyDescent="0.3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3">
      <c r="A2" s="12" t="s">
        <v>10</v>
      </c>
      <c r="B2" s="23" t="s">
        <v>247</v>
      </c>
      <c r="C2" s="12">
        <v>92012988</v>
      </c>
      <c r="D2" s="7">
        <v>1</v>
      </c>
      <c r="E2" s="7">
        <v>25.58</v>
      </c>
      <c r="F2" s="6">
        <f>D2*E2</f>
        <v>25.58</v>
      </c>
      <c r="G2" s="5"/>
      <c r="H2" s="20" t="s">
        <v>155</v>
      </c>
      <c r="J2" s="2"/>
    </row>
    <row r="3" spans="1:13" ht="15" customHeight="1" x14ac:dyDescent="0.3">
      <c r="A3" s="13" t="s">
        <v>11</v>
      </c>
      <c r="B3" s="23" t="s">
        <v>156</v>
      </c>
      <c r="C3" s="13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1" t="s">
        <v>156</v>
      </c>
      <c r="I3" s="4"/>
    </row>
    <row r="4" spans="1:13" ht="15" customHeight="1" x14ac:dyDescent="0.3">
      <c r="A4" s="12" t="s">
        <v>12</v>
      </c>
      <c r="B4" s="23" t="s">
        <v>157</v>
      </c>
      <c r="C4" s="14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0" t="s">
        <v>157</v>
      </c>
    </row>
    <row r="5" spans="1:13" ht="15" customHeight="1" x14ac:dyDescent="0.3">
      <c r="A5" s="13" t="s">
        <v>10</v>
      </c>
      <c r="B5" s="23" t="s">
        <v>158</v>
      </c>
      <c r="C5" s="15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1" t="s">
        <v>158</v>
      </c>
      <c r="I5" s="1"/>
    </row>
    <row r="6" spans="1:13" ht="15" customHeight="1" x14ac:dyDescent="0.3">
      <c r="A6" s="12" t="s">
        <v>10</v>
      </c>
      <c r="B6" s="23" t="s">
        <v>159</v>
      </c>
      <c r="C6" s="16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0" t="s">
        <v>159</v>
      </c>
      <c r="I6" s="4"/>
    </row>
    <row r="7" spans="1:13" ht="15" customHeight="1" x14ac:dyDescent="0.3">
      <c r="A7" s="13" t="s">
        <v>13</v>
      </c>
      <c r="B7" s="23" t="s">
        <v>160</v>
      </c>
      <c r="C7" s="17" t="s">
        <v>73</v>
      </c>
      <c r="D7" s="8">
        <v>3</v>
      </c>
      <c r="E7" s="8">
        <v>10.41</v>
      </c>
      <c r="F7" s="6">
        <f t="shared" si="0"/>
        <v>31.23</v>
      </c>
      <c r="G7" s="5"/>
      <c r="H7" s="21" t="s">
        <v>160</v>
      </c>
      <c r="I7" s="4"/>
      <c r="J7" s="3"/>
      <c r="K7" s="3"/>
    </row>
    <row r="8" spans="1:13" ht="15" customHeight="1" x14ac:dyDescent="0.3">
      <c r="A8" s="12" t="s">
        <v>14</v>
      </c>
      <c r="B8" s="23" t="s">
        <v>161</v>
      </c>
      <c r="C8" s="16" t="s">
        <v>74</v>
      </c>
      <c r="D8" s="7">
        <v>1</v>
      </c>
      <c r="E8" s="7">
        <v>93.93</v>
      </c>
      <c r="F8" s="6">
        <f t="shared" si="0"/>
        <v>93.93</v>
      </c>
      <c r="G8" s="5"/>
      <c r="H8" s="20" t="s">
        <v>161</v>
      </c>
      <c r="I8" s="4"/>
    </row>
    <row r="9" spans="1:13" ht="15" customHeight="1" x14ac:dyDescent="0.3">
      <c r="A9" s="13" t="s">
        <v>15</v>
      </c>
      <c r="B9" s="23" t="s">
        <v>162</v>
      </c>
      <c r="C9" s="17" t="s">
        <v>75</v>
      </c>
      <c r="D9" s="8">
        <v>1</v>
      </c>
      <c r="E9" s="8">
        <v>5.99</v>
      </c>
      <c r="F9" s="6">
        <f t="shared" si="0"/>
        <v>5.99</v>
      </c>
      <c r="G9" s="5"/>
      <c r="H9" s="21" t="s">
        <v>162</v>
      </c>
      <c r="L9" s="4"/>
      <c r="M9" s="4"/>
    </row>
    <row r="10" spans="1:13" ht="15" customHeight="1" x14ac:dyDescent="0.3">
      <c r="A10" s="12" t="s">
        <v>16</v>
      </c>
      <c r="B10" s="23" t="s">
        <v>163</v>
      </c>
      <c r="C10" s="16" t="s">
        <v>76</v>
      </c>
      <c r="D10" s="7">
        <v>1</v>
      </c>
      <c r="E10" s="7">
        <v>41.22</v>
      </c>
      <c r="F10" s="6">
        <f t="shared" si="0"/>
        <v>41.22</v>
      </c>
      <c r="G10" s="5"/>
      <c r="H10" s="20" t="s">
        <v>163</v>
      </c>
    </row>
    <row r="11" spans="1:13" ht="15" customHeight="1" x14ac:dyDescent="0.3">
      <c r="A11" s="13" t="s">
        <v>17</v>
      </c>
      <c r="B11" s="23" t="s">
        <v>164</v>
      </c>
      <c r="C11" s="17" t="s">
        <v>77</v>
      </c>
      <c r="D11" s="8">
        <v>1</v>
      </c>
      <c r="E11" s="8">
        <v>60.89</v>
      </c>
      <c r="F11" s="6">
        <f t="shared" si="0"/>
        <v>60.89</v>
      </c>
      <c r="G11" s="5"/>
      <c r="H11" s="21" t="s">
        <v>164</v>
      </c>
      <c r="I11" s="3"/>
    </row>
    <row r="12" spans="1:13" ht="15" customHeight="1" x14ac:dyDescent="0.3">
      <c r="A12" s="12" t="s">
        <v>18</v>
      </c>
      <c r="B12" s="23"/>
      <c r="C12" s="12" t="s">
        <v>78</v>
      </c>
      <c r="D12" s="7">
        <v>1</v>
      </c>
      <c r="E12" s="7">
        <v>27.83</v>
      </c>
      <c r="F12" s="6">
        <f t="shared" si="0"/>
        <v>27.83</v>
      </c>
      <c r="G12" s="5"/>
      <c r="H12" s="22" t="s">
        <v>78</v>
      </c>
      <c r="I12" s="4"/>
    </row>
    <row r="13" spans="1:13" ht="15" customHeight="1" x14ac:dyDescent="0.3">
      <c r="A13" s="13" t="s">
        <v>19</v>
      </c>
      <c r="B13" s="23" t="s">
        <v>165</v>
      </c>
      <c r="C13" s="18">
        <v>316533</v>
      </c>
      <c r="D13" s="8">
        <v>1</v>
      </c>
      <c r="E13" s="8">
        <v>370</v>
      </c>
      <c r="F13" s="6">
        <f t="shared" si="0"/>
        <v>370</v>
      </c>
      <c r="G13" s="5"/>
      <c r="H13" s="21" t="s">
        <v>165</v>
      </c>
      <c r="I13" s="4"/>
    </row>
    <row r="14" spans="1:13" ht="15" customHeight="1" x14ac:dyDescent="0.3">
      <c r="A14" s="12" t="s">
        <v>20</v>
      </c>
      <c r="B14" s="23" t="s">
        <v>166</v>
      </c>
      <c r="C14" s="16">
        <v>316530</v>
      </c>
      <c r="D14" s="7">
        <v>1</v>
      </c>
      <c r="E14" s="7">
        <v>312</v>
      </c>
      <c r="F14" s="6">
        <f t="shared" si="0"/>
        <v>312</v>
      </c>
      <c r="G14" s="5"/>
      <c r="H14" s="20" t="s">
        <v>166</v>
      </c>
      <c r="I14" s="4"/>
    </row>
    <row r="15" spans="1:13" ht="15" customHeight="1" x14ac:dyDescent="0.3">
      <c r="A15" s="13" t="s">
        <v>21</v>
      </c>
      <c r="B15" s="23" t="s">
        <v>167</v>
      </c>
      <c r="C15" s="18">
        <v>314802</v>
      </c>
      <c r="D15" s="8">
        <v>1</v>
      </c>
      <c r="E15" s="8">
        <v>5.9</v>
      </c>
      <c r="F15" s="6">
        <f t="shared" si="0"/>
        <v>5.9</v>
      </c>
      <c r="G15" s="5"/>
      <c r="H15" s="21" t="s">
        <v>167</v>
      </c>
      <c r="I15" s="4"/>
    </row>
    <row r="16" spans="1:13" ht="15" customHeight="1" x14ac:dyDescent="0.3">
      <c r="A16" s="12" t="s">
        <v>22</v>
      </c>
      <c r="B16" s="23" t="s">
        <v>168</v>
      </c>
      <c r="C16" s="19">
        <v>164598</v>
      </c>
      <c r="D16" s="7">
        <v>1</v>
      </c>
      <c r="E16" s="7">
        <v>1610</v>
      </c>
      <c r="F16" s="6">
        <f t="shared" si="0"/>
        <v>1610</v>
      </c>
      <c r="G16" s="5"/>
      <c r="H16" s="20" t="s">
        <v>168</v>
      </c>
      <c r="I16" s="4"/>
    </row>
    <row r="17" spans="1:9" ht="15" customHeight="1" x14ac:dyDescent="0.3">
      <c r="A17" s="13" t="s">
        <v>23</v>
      </c>
      <c r="B17" s="23" t="s">
        <v>169</v>
      </c>
      <c r="C17" s="13" t="s">
        <v>79</v>
      </c>
      <c r="D17" s="8">
        <v>25</v>
      </c>
      <c r="E17" s="8">
        <v>3.97</v>
      </c>
      <c r="F17" s="6">
        <f t="shared" si="0"/>
        <v>99.25</v>
      </c>
      <c r="G17" s="5"/>
      <c r="H17" s="21" t="s">
        <v>169</v>
      </c>
      <c r="I17" s="4"/>
    </row>
    <row r="18" spans="1:9" ht="15" customHeight="1" x14ac:dyDescent="0.3">
      <c r="A18" s="12" t="s">
        <v>24</v>
      </c>
      <c r="B18" s="23"/>
      <c r="C18" s="12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2" t="s">
        <v>78</v>
      </c>
      <c r="I18" s="4"/>
    </row>
    <row r="19" spans="1:9" ht="15" customHeight="1" x14ac:dyDescent="0.3">
      <c r="A19" s="13" t="s">
        <v>25</v>
      </c>
      <c r="B19" s="23" t="s">
        <v>170</v>
      </c>
      <c r="C19" s="13" t="s">
        <v>81</v>
      </c>
      <c r="D19" s="8">
        <v>2</v>
      </c>
      <c r="E19" s="8">
        <v>14.02</v>
      </c>
      <c r="F19" s="6">
        <f t="shared" si="0"/>
        <v>28.04</v>
      </c>
      <c r="G19" s="5"/>
      <c r="H19" s="21" t="s">
        <v>170</v>
      </c>
      <c r="I19" s="4"/>
    </row>
    <row r="20" spans="1:9" ht="15" customHeight="1" x14ac:dyDescent="0.3">
      <c r="A20" s="12" t="s">
        <v>26</v>
      </c>
      <c r="B20" s="23" t="s">
        <v>171</v>
      </c>
      <c r="C20" s="12" t="s">
        <v>82</v>
      </c>
      <c r="D20" s="7">
        <v>1</v>
      </c>
      <c r="E20" s="7">
        <v>33.58</v>
      </c>
      <c r="F20" s="6">
        <f t="shared" si="0"/>
        <v>33.58</v>
      </c>
      <c r="G20" s="5"/>
      <c r="H20" s="20" t="s">
        <v>171</v>
      </c>
      <c r="I20" s="4"/>
    </row>
    <row r="21" spans="1:9" ht="15" customHeight="1" x14ac:dyDescent="0.3">
      <c r="A21" s="13" t="s">
        <v>27</v>
      </c>
      <c r="B21" s="23" t="s">
        <v>172</v>
      </c>
      <c r="C21" s="13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1" t="s">
        <v>172</v>
      </c>
      <c r="I21" s="4"/>
    </row>
    <row r="22" spans="1:9" ht="15" customHeight="1" x14ac:dyDescent="0.3">
      <c r="A22" s="12" t="s">
        <v>28</v>
      </c>
      <c r="B22" s="23" t="s">
        <v>173</v>
      </c>
      <c r="C22" s="12" t="s">
        <v>84</v>
      </c>
      <c r="D22" s="7">
        <v>1</v>
      </c>
      <c r="E22" s="7">
        <v>59</v>
      </c>
      <c r="F22" s="6">
        <f t="shared" si="0"/>
        <v>59</v>
      </c>
      <c r="G22" s="5"/>
      <c r="H22" s="20" t="s">
        <v>173</v>
      </c>
      <c r="I22" s="4"/>
    </row>
    <row r="23" spans="1:9" ht="15" customHeight="1" x14ac:dyDescent="0.3">
      <c r="A23" s="13" t="s">
        <v>29</v>
      </c>
      <c r="B23" s="23" t="s">
        <v>174</v>
      </c>
      <c r="C23" s="13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1" t="s">
        <v>174</v>
      </c>
      <c r="I23" s="4"/>
    </row>
    <row r="24" spans="1:9" ht="15" customHeight="1" x14ac:dyDescent="0.3">
      <c r="A24" s="12" t="s">
        <v>30</v>
      </c>
      <c r="B24" s="23" t="s">
        <v>175</v>
      </c>
      <c r="C24" s="12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0" t="s">
        <v>175</v>
      </c>
      <c r="I24" s="4"/>
    </row>
    <row r="25" spans="1:9" ht="15" customHeight="1" x14ac:dyDescent="0.3">
      <c r="A25" s="13" t="s">
        <v>28</v>
      </c>
      <c r="B25" s="23" t="s">
        <v>173</v>
      </c>
      <c r="C25" s="13" t="s">
        <v>84</v>
      </c>
      <c r="D25" s="8">
        <v>5</v>
      </c>
      <c r="E25" s="8">
        <v>59</v>
      </c>
      <c r="F25" s="6">
        <f t="shared" si="0"/>
        <v>295</v>
      </c>
      <c r="G25" s="2"/>
      <c r="H25" s="21" t="s">
        <v>173</v>
      </c>
      <c r="I25" s="4"/>
    </row>
    <row r="26" spans="1:9" ht="15" customHeight="1" x14ac:dyDescent="0.3">
      <c r="A26" s="12" t="s">
        <v>31</v>
      </c>
      <c r="B26" s="23" t="s">
        <v>176</v>
      </c>
      <c r="C26" s="12" t="s">
        <v>85</v>
      </c>
      <c r="D26" s="7">
        <v>4</v>
      </c>
      <c r="E26" s="7">
        <v>20.99</v>
      </c>
      <c r="F26" s="6">
        <f t="shared" si="0"/>
        <v>83.96</v>
      </c>
      <c r="G26" s="2"/>
      <c r="H26" s="20" t="s">
        <v>176</v>
      </c>
      <c r="I26" s="2"/>
    </row>
    <row r="27" spans="1:9" ht="15" customHeight="1" x14ac:dyDescent="0.3">
      <c r="A27" s="13" t="s">
        <v>17</v>
      </c>
      <c r="B27" s="23" t="s">
        <v>177</v>
      </c>
      <c r="C27" s="17" t="s">
        <v>86</v>
      </c>
      <c r="D27" s="8">
        <v>4</v>
      </c>
      <c r="E27" s="8">
        <v>7.46</v>
      </c>
      <c r="F27" s="6">
        <f t="shared" si="0"/>
        <v>29.84</v>
      </c>
      <c r="G27" s="2"/>
      <c r="H27" s="21" t="s">
        <v>177</v>
      </c>
    </row>
    <row r="28" spans="1:9" ht="15" customHeight="1" x14ac:dyDescent="0.3">
      <c r="A28" s="12" t="s">
        <v>32</v>
      </c>
      <c r="B28" s="23" t="s">
        <v>178</v>
      </c>
      <c r="C28" s="16" t="s">
        <v>87</v>
      </c>
      <c r="D28" s="7">
        <v>4</v>
      </c>
      <c r="E28" s="7">
        <v>13.23</v>
      </c>
      <c r="F28" s="6">
        <f t="shared" si="0"/>
        <v>52.92</v>
      </c>
      <c r="H28" s="20" t="s">
        <v>178</v>
      </c>
    </row>
    <row r="29" spans="1:9" ht="15" customHeight="1" x14ac:dyDescent="0.3">
      <c r="A29" s="13" t="s">
        <v>33</v>
      </c>
      <c r="B29" s="23" t="s">
        <v>179</v>
      </c>
      <c r="C29" s="13" t="s">
        <v>88</v>
      </c>
      <c r="D29" s="8">
        <v>4</v>
      </c>
      <c r="E29" s="8">
        <v>12.78</v>
      </c>
      <c r="F29" s="6">
        <f t="shared" si="0"/>
        <v>51.12</v>
      </c>
      <c r="H29" s="21" t="s">
        <v>179</v>
      </c>
    </row>
    <row r="30" spans="1:9" ht="15" customHeight="1" x14ac:dyDescent="0.3">
      <c r="A30" s="12" t="s">
        <v>34</v>
      </c>
      <c r="B30" s="23" t="s">
        <v>180</v>
      </c>
      <c r="C30" s="16" t="s">
        <v>89</v>
      </c>
      <c r="D30" s="7">
        <v>4</v>
      </c>
      <c r="E30" s="7">
        <v>9.99</v>
      </c>
      <c r="F30" s="6">
        <f t="shared" si="0"/>
        <v>39.96</v>
      </c>
      <c r="H30" s="20" t="s">
        <v>180</v>
      </c>
    </row>
    <row r="31" spans="1:9" x14ac:dyDescent="0.3">
      <c r="A31" s="13" t="s">
        <v>35</v>
      </c>
      <c r="B31" s="23" t="s">
        <v>181</v>
      </c>
      <c r="C31" s="17" t="s">
        <v>90</v>
      </c>
      <c r="D31" s="8">
        <v>4</v>
      </c>
      <c r="E31" s="8">
        <v>22.34</v>
      </c>
      <c r="F31" s="6">
        <f t="shared" si="0"/>
        <v>89.36</v>
      </c>
      <c r="H31" s="21" t="s">
        <v>181</v>
      </c>
    </row>
    <row r="32" spans="1:9" x14ac:dyDescent="0.3">
      <c r="A32" s="12" t="s">
        <v>35</v>
      </c>
      <c r="B32" s="23" t="s">
        <v>182</v>
      </c>
      <c r="C32" s="16" t="s">
        <v>91</v>
      </c>
      <c r="D32" s="7">
        <v>4</v>
      </c>
      <c r="E32" s="7">
        <v>16.89</v>
      </c>
      <c r="F32" s="6">
        <f t="shared" si="0"/>
        <v>67.56</v>
      </c>
      <c r="H32" s="20" t="s">
        <v>182</v>
      </c>
    </row>
    <row r="33" spans="1:8" x14ac:dyDescent="0.3">
      <c r="A33" s="13" t="s">
        <v>36</v>
      </c>
      <c r="B33" s="23" t="s">
        <v>183</v>
      </c>
      <c r="C33" s="17" t="s">
        <v>92</v>
      </c>
      <c r="D33" s="8">
        <v>2</v>
      </c>
      <c r="E33" s="8">
        <v>21.79</v>
      </c>
      <c r="F33" s="6">
        <f t="shared" si="0"/>
        <v>43.58</v>
      </c>
      <c r="H33" s="21" t="s">
        <v>183</v>
      </c>
    </row>
    <row r="34" spans="1:8" x14ac:dyDescent="0.3">
      <c r="A34" s="12" t="s">
        <v>36</v>
      </c>
      <c r="B34" s="23" t="s">
        <v>184</v>
      </c>
      <c r="C34" s="16" t="s">
        <v>93</v>
      </c>
      <c r="D34" s="7">
        <v>2</v>
      </c>
      <c r="E34" s="7">
        <v>19.86</v>
      </c>
      <c r="F34" s="6">
        <f t="shared" si="0"/>
        <v>39.72</v>
      </c>
      <c r="H34" s="20" t="s">
        <v>184</v>
      </c>
    </row>
    <row r="35" spans="1:8" x14ac:dyDescent="0.3">
      <c r="A35" s="13" t="s">
        <v>37</v>
      </c>
      <c r="B35" s="23" t="s">
        <v>185</v>
      </c>
      <c r="C35" s="17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1" t="s">
        <v>185</v>
      </c>
    </row>
    <row r="36" spans="1:8" x14ac:dyDescent="0.3">
      <c r="A36" s="12" t="s">
        <v>37</v>
      </c>
      <c r="B36" s="23" t="s">
        <v>186</v>
      </c>
      <c r="C36" s="16" t="s">
        <v>95</v>
      </c>
      <c r="D36" s="7">
        <v>1</v>
      </c>
      <c r="E36" s="7">
        <v>26.2</v>
      </c>
      <c r="F36" s="6">
        <f t="shared" si="0"/>
        <v>26.2</v>
      </c>
      <c r="H36" s="20" t="s">
        <v>186</v>
      </c>
    </row>
    <row r="37" spans="1:8" x14ac:dyDescent="0.3">
      <c r="A37" s="13" t="s">
        <v>35</v>
      </c>
      <c r="B37" s="23" t="s">
        <v>187</v>
      </c>
      <c r="C37" s="17" t="s">
        <v>96</v>
      </c>
      <c r="D37" s="8">
        <v>4</v>
      </c>
      <c r="E37" s="8">
        <v>19.22</v>
      </c>
      <c r="F37" s="6">
        <f t="shared" si="0"/>
        <v>76.88</v>
      </c>
      <c r="H37" s="21" t="s">
        <v>187</v>
      </c>
    </row>
    <row r="38" spans="1:8" x14ac:dyDescent="0.3">
      <c r="A38" s="12" t="s">
        <v>38</v>
      </c>
      <c r="B38" s="23" t="s">
        <v>188</v>
      </c>
      <c r="C38" s="16" t="s">
        <v>97</v>
      </c>
      <c r="D38" s="7">
        <v>6</v>
      </c>
      <c r="E38" s="7">
        <v>2.48</v>
      </c>
      <c r="F38" s="6">
        <f t="shared" si="0"/>
        <v>14.879999999999999</v>
      </c>
      <c r="H38" s="20" t="s">
        <v>188</v>
      </c>
    </row>
    <row r="39" spans="1:8" x14ac:dyDescent="0.3">
      <c r="A39" s="13" t="s">
        <v>38</v>
      </c>
      <c r="B39" s="23" t="s">
        <v>189</v>
      </c>
      <c r="C39" s="17" t="s">
        <v>98</v>
      </c>
      <c r="D39" s="8">
        <v>6</v>
      </c>
      <c r="E39" s="8">
        <v>3.21</v>
      </c>
      <c r="F39" s="6">
        <f t="shared" si="0"/>
        <v>19.259999999999998</v>
      </c>
      <c r="H39" s="21" t="s">
        <v>189</v>
      </c>
    </row>
    <row r="40" spans="1:8" x14ac:dyDescent="0.3">
      <c r="A40" s="12" t="s">
        <v>12</v>
      </c>
      <c r="B40" s="23" t="s">
        <v>190</v>
      </c>
      <c r="C40" s="16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0" t="s">
        <v>190</v>
      </c>
    </row>
    <row r="41" spans="1:8" x14ac:dyDescent="0.3">
      <c r="A41" s="13" t="s">
        <v>39</v>
      </c>
      <c r="B41" s="23" t="s">
        <v>248</v>
      </c>
      <c r="C41" s="17" t="s">
        <v>100</v>
      </c>
      <c r="D41" s="8">
        <v>3</v>
      </c>
      <c r="E41" s="8">
        <v>7.55</v>
      </c>
      <c r="F41" s="6">
        <f t="shared" si="0"/>
        <v>22.65</v>
      </c>
      <c r="H41" s="21" t="s">
        <v>191</v>
      </c>
    </row>
    <row r="42" spans="1:8" x14ac:dyDescent="0.3">
      <c r="A42" s="12" t="s">
        <v>40</v>
      </c>
      <c r="B42" s="23" t="s">
        <v>192</v>
      </c>
      <c r="C42" s="16" t="s">
        <v>101</v>
      </c>
      <c r="D42" s="7">
        <v>12</v>
      </c>
      <c r="E42" s="7">
        <v>3.55</v>
      </c>
      <c r="F42" s="6">
        <f t="shared" si="0"/>
        <v>42.599999999999994</v>
      </c>
      <c r="H42" s="20" t="s">
        <v>192</v>
      </c>
    </row>
    <row r="43" spans="1:8" x14ac:dyDescent="0.3">
      <c r="A43" s="13" t="s">
        <v>41</v>
      </c>
      <c r="B43" s="23" t="s">
        <v>193</v>
      </c>
      <c r="C43" s="17" t="s">
        <v>102</v>
      </c>
      <c r="D43" s="8">
        <v>1</v>
      </c>
      <c r="E43" s="8">
        <v>50.51</v>
      </c>
      <c r="F43" s="6">
        <f t="shared" si="0"/>
        <v>50.51</v>
      </c>
      <c r="H43" s="21" t="s">
        <v>193</v>
      </c>
    </row>
    <row r="44" spans="1:8" x14ac:dyDescent="0.3">
      <c r="A44" s="12" t="s">
        <v>42</v>
      </c>
      <c r="B44" s="23" t="s">
        <v>194</v>
      </c>
      <c r="C44" s="16" t="s">
        <v>103</v>
      </c>
      <c r="D44" s="7">
        <v>1</v>
      </c>
      <c r="E44" s="7">
        <v>24.17</v>
      </c>
      <c r="F44" s="6">
        <f t="shared" si="0"/>
        <v>24.17</v>
      </c>
      <c r="H44" s="20" t="s">
        <v>194</v>
      </c>
    </row>
    <row r="45" spans="1:8" x14ac:dyDescent="0.3">
      <c r="A45" s="13" t="s">
        <v>43</v>
      </c>
      <c r="B45" s="23" t="s">
        <v>195</v>
      </c>
      <c r="C45" s="17" t="s">
        <v>104</v>
      </c>
      <c r="D45" s="8">
        <v>1</v>
      </c>
      <c r="E45" s="8">
        <v>26.01</v>
      </c>
      <c r="F45" s="6">
        <f t="shared" si="0"/>
        <v>26.01</v>
      </c>
      <c r="H45" s="21" t="s">
        <v>195</v>
      </c>
    </row>
    <row r="46" spans="1:8" x14ac:dyDescent="0.3">
      <c r="A46" s="12" t="s">
        <v>44</v>
      </c>
      <c r="B46" s="23" t="s">
        <v>196</v>
      </c>
      <c r="C46" s="16" t="s">
        <v>105</v>
      </c>
      <c r="D46" s="7">
        <v>1</v>
      </c>
      <c r="E46" s="7">
        <v>16.82</v>
      </c>
      <c r="F46" s="6">
        <f t="shared" si="0"/>
        <v>16.82</v>
      </c>
      <c r="H46" s="20" t="s">
        <v>196</v>
      </c>
    </row>
    <row r="47" spans="1:8" x14ac:dyDescent="0.3">
      <c r="A47" s="13" t="s">
        <v>45</v>
      </c>
      <c r="B47" s="23" t="s">
        <v>197</v>
      </c>
      <c r="C47" s="17" t="s">
        <v>106</v>
      </c>
      <c r="D47" s="8">
        <v>2</v>
      </c>
      <c r="E47" s="8">
        <v>25.17</v>
      </c>
      <c r="F47" s="6">
        <f t="shared" si="0"/>
        <v>50.34</v>
      </c>
      <c r="H47" s="21" t="s">
        <v>197</v>
      </c>
    </row>
    <row r="48" spans="1:8" x14ac:dyDescent="0.3">
      <c r="A48" s="12" t="s">
        <v>45</v>
      </c>
      <c r="B48" s="23" t="s">
        <v>198</v>
      </c>
      <c r="C48" s="16" t="s">
        <v>107</v>
      </c>
      <c r="D48" s="7">
        <v>2</v>
      </c>
      <c r="E48" s="7">
        <v>12.5</v>
      </c>
      <c r="F48" s="6">
        <f t="shared" si="0"/>
        <v>25</v>
      </c>
      <c r="H48" s="20" t="s">
        <v>198</v>
      </c>
    </row>
    <row r="49" spans="1:8" x14ac:dyDescent="0.3">
      <c r="A49" s="13" t="s">
        <v>46</v>
      </c>
      <c r="B49" s="23" t="s">
        <v>199</v>
      </c>
      <c r="C49" s="17" t="s">
        <v>108</v>
      </c>
      <c r="D49" s="8">
        <v>1</v>
      </c>
      <c r="E49" s="8">
        <v>28.56</v>
      </c>
      <c r="F49" s="6">
        <f t="shared" si="0"/>
        <v>28.56</v>
      </c>
      <c r="H49" s="21" t="s">
        <v>199</v>
      </c>
    </row>
    <row r="50" spans="1:8" x14ac:dyDescent="0.3">
      <c r="A50" s="12" t="s">
        <v>47</v>
      </c>
      <c r="B50" s="23" t="s">
        <v>200</v>
      </c>
      <c r="C50" s="16" t="s">
        <v>109</v>
      </c>
      <c r="D50" s="7">
        <v>5</v>
      </c>
      <c r="E50" s="7">
        <v>3.35</v>
      </c>
      <c r="F50" s="6">
        <f t="shared" si="0"/>
        <v>16.75</v>
      </c>
      <c r="H50" s="20" t="s">
        <v>200</v>
      </c>
    </row>
    <row r="51" spans="1:8" x14ac:dyDescent="0.3">
      <c r="A51" s="13" t="s">
        <v>46</v>
      </c>
      <c r="B51" s="23" t="s">
        <v>201</v>
      </c>
      <c r="C51" s="17" t="s">
        <v>110</v>
      </c>
      <c r="D51" s="8">
        <v>1</v>
      </c>
      <c r="E51" s="8">
        <v>14.81</v>
      </c>
      <c r="F51" s="6">
        <f t="shared" si="0"/>
        <v>14.81</v>
      </c>
      <c r="H51" s="21" t="s">
        <v>201</v>
      </c>
    </row>
    <row r="52" spans="1:8" x14ac:dyDescent="0.3">
      <c r="A52" s="12" t="s">
        <v>46</v>
      </c>
      <c r="B52" s="23" t="s">
        <v>202</v>
      </c>
      <c r="C52" s="16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0" t="s">
        <v>202</v>
      </c>
    </row>
    <row r="53" spans="1:8" x14ac:dyDescent="0.3">
      <c r="A53" s="13" t="s">
        <v>48</v>
      </c>
      <c r="B53" s="23" t="s">
        <v>203</v>
      </c>
      <c r="C53" s="17" t="s">
        <v>112</v>
      </c>
      <c r="D53" s="8">
        <v>5</v>
      </c>
      <c r="E53" s="8">
        <v>5.36</v>
      </c>
      <c r="F53" s="6">
        <f t="shared" si="0"/>
        <v>26.8</v>
      </c>
      <c r="H53" s="21" t="s">
        <v>203</v>
      </c>
    </row>
    <row r="54" spans="1:8" x14ac:dyDescent="0.3">
      <c r="A54" s="12" t="s">
        <v>49</v>
      </c>
      <c r="B54" s="23" t="s">
        <v>204</v>
      </c>
      <c r="C54" s="16" t="s">
        <v>113</v>
      </c>
      <c r="D54" s="7">
        <v>1</v>
      </c>
      <c r="E54" s="7">
        <v>40.14</v>
      </c>
      <c r="F54" s="6">
        <f t="shared" si="0"/>
        <v>40.14</v>
      </c>
      <c r="H54" s="20" t="s">
        <v>204</v>
      </c>
    </row>
    <row r="55" spans="1:8" x14ac:dyDescent="0.3">
      <c r="A55" s="13" t="s">
        <v>50</v>
      </c>
      <c r="B55" s="23" t="s">
        <v>205</v>
      </c>
      <c r="C55" s="13" t="s">
        <v>78</v>
      </c>
      <c r="D55" s="8">
        <v>1</v>
      </c>
      <c r="E55" s="8">
        <v>300</v>
      </c>
      <c r="F55" s="6">
        <f t="shared" si="0"/>
        <v>300</v>
      </c>
      <c r="H55" s="21" t="s">
        <v>205</v>
      </c>
    </row>
    <row r="56" spans="1:8" x14ac:dyDescent="0.3">
      <c r="A56" s="12" t="s">
        <v>35</v>
      </c>
      <c r="B56" s="23" t="s">
        <v>206</v>
      </c>
      <c r="C56" s="16" t="s">
        <v>114</v>
      </c>
      <c r="D56" s="7">
        <v>6</v>
      </c>
      <c r="E56" s="7">
        <v>11.53</v>
      </c>
      <c r="F56" s="6">
        <f t="shared" si="0"/>
        <v>69.179999999999993</v>
      </c>
      <c r="H56" s="20" t="s">
        <v>206</v>
      </c>
    </row>
    <row r="57" spans="1:8" x14ac:dyDescent="0.3">
      <c r="A57" s="13" t="s">
        <v>48</v>
      </c>
      <c r="B57" s="23" t="s">
        <v>207</v>
      </c>
      <c r="C57" s="17" t="s">
        <v>115</v>
      </c>
      <c r="D57" s="8">
        <v>2</v>
      </c>
      <c r="E57" s="8">
        <v>4.75</v>
      </c>
      <c r="F57" s="6">
        <f t="shared" si="0"/>
        <v>9.5</v>
      </c>
      <c r="H57" s="21" t="s">
        <v>207</v>
      </c>
    </row>
    <row r="58" spans="1:8" x14ac:dyDescent="0.3">
      <c r="A58" s="12" t="s">
        <v>39</v>
      </c>
      <c r="B58" s="23" t="s">
        <v>208</v>
      </c>
      <c r="C58" s="16" t="s">
        <v>116</v>
      </c>
      <c r="D58" s="7">
        <v>1</v>
      </c>
      <c r="E58" s="7">
        <v>5.41</v>
      </c>
      <c r="F58" s="6">
        <f t="shared" si="0"/>
        <v>5.41</v>
      </c>
      <c r="H58" s="20" t="s">
        <v>208</v>
      </c>
    </row>
    <row r="59" spans="1:8" x14ac:dyDescent="0.3">
      <c r="A59" s="13" t="s">
        <v>12</v>
      </c>
      <c r="B59" s="23" t="s">
        <v>209</v>
      </c>
      <c r="C59" s="17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1" t="s">
        <v>209</v>
      </c>
    </row>
    <row r="60" spans="1:8" x14ac:dyDescent="0.3">
      <c r="A60" s="12" t="s">
        <v>51</v>
      </c>
      <c r="B60" s="23" t="s">
        <v>210</v>
      </c>
      <c r="C60" s="16" t="s">
        <v>118</v>
      </c>
      <c r="D60" s="7">
        <v>1</v>
      </c>
      <c r="E60" s="7">
        <v>16.87</v>
      </c>
      <c r="F60" s="6">
        <f t="shared" si="0"/>
        <v>16.87</v>
      </c>
      <c r="H60" s="20" t="s">
        <v>210</v>
      </c>
    </row>
    <row r="61" spans="1:8" x14ac:dyDescent="0.3">
      <c r="A61" s="13" t="s">
        <v>46</v>
      </c>
      <c r="B61" s="23" t="s">
        <v>211</v>
      </c>
      <c r="C61" s="17" t="s">
        <v>119</v>
      </c>
      <c r="D61" s="8">
        <v>1</v>
      </c>
      <c r="E61" s="8">
        <v>14.02</v>
      </c>
      <c r="F61" s="6">
        <f t="shared" si="0"/>
        <v>14.02</v>
      </c>
      <c r="H61" s="21" t="s">
        <v>211</v>
      </c>
    </row>
    <row r="62" spans="1:8" x14ac:dyDescent="0.3">
      <c r="A62" s="12" t="s">
        <v>52</v>
      </c>
      <c r="B62" s="23" t="s">
        <v>212</v>
      </c>
      <c r="C62" s="16" t="s">
        <v>120</v>
      </c>
      <c r="D62" s="7">
        <v>1</v>
      </c>
      <c r="E62" s="7">
        <v>8.83</v>
      </c>
      <c r="F62" s="6">
        <f t="shared" si="0"/>
        <v>8.83</v>
      </c>
      <c r="H62" s="20" t="s">
        <v>212</v>
      </c>
    </row>
    <row r="63" spans="1:8" x14ac:dyDescent="0.3">
      <c r="A63" s="13" t="s">
        <v>52</v>
      </c>
      <c r="B63" s="23" t="s">
        <v>213</v>
      </c>
      <c r="C63" s="17" t="s">
        <v>121</v>
      </c>
      <c r="D63" s="8">
        <v>1</v>
      </c>
      <c r="E63" s="8">
        <v>7.19</v>
      </c>
      <c r="F63" s="6">
        <f t="shared" si="0"/>
        <v>7.19</v>
      </c>
      <c r="H63" s="21" t="s">
        <v>213</v>
      </c>
    </row>
    <row r="64" spans="1:8" x14ac:dyDescent="0.3">
      <c r="A64" s="12" t="s">
        <v>48</v>
      </c>
      <c r="B64" s="23" t="s">
        <v>214</v>
      </c>
      <c r="C64" s="16" t="s">
        <v>122</v>
      </c>
      <c r="D64" s="7">
        <v>4</v>
      </c>
      <c r="E64" s="7">
        <v>2.76</v>
      </c>
      <c r="F64" s="6">
        <f t="shared" si="0"/>
        <v>11.04</v>
      </c>
      <c r="H64" s="20" t="s">
        <v>214</v>
      </c>
    </row>
    <row r="65" spans="1:8" x14ac:dyDescent="0.3">
      <c r="A65" s="13" t="s">
        <v>45</v>
      </c>
      <c r="B65" s="23" t="s">
        <v>215</v>
      </c>
      <c r="C65" s="17" t="s">
        <v>123</v>
      </c>
      <c r="D65" s="8">
        <v>2</v>
      </c>
      <c r="E65" s="8">
        <v>3.49</v>
      </c>
      <c r="F65" s="6">
        <f t="shared" si="0"/>
        <v>6.98</v>
      </c>
      <c r="H65" s="21" t="s">
        <v>215</v>
      </c>
    </row>
    <row r="66" spans="1:8" x14ac:dyDescent="0.3">
      <c r="A66" s="12" t="s">
        <v>37</v>
      </c>
      <c r="B66" s="23" t="s">
        <v>216</v>
      </c>
      <c r="C66" s="16" t="s">
        <v>124</v>
      </c>
      <c r="D66" s="7">
        <v>1</v>
      </c>
      <c r="E66" s="7">
        <v>42.76</v>
      </c>
      <c r="F66" s="6">
        <f t="shared" si="0"/>
        <v>42.76</v>
      </c>
      <c r="H66" s="20" t="s">
        <v>216</v>
      </c>
    </row>
    <row r="67" spans="1:8" x14ac:dyDescent="0.3">
      <c r="A67" s="13" t="s">
        <v>53</v>
      </c>
      <c r="B67" s="23" t="s">
        <v>217</v>
      </c>
      <c r="C67" s="17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1" t="s">
        <v>217</v>
      </c>
    </row>
    <row r="68" spans="1:8" x14ac:dyDescent="0.3">
      <c r="A68" s="12" t="s">
        <v>45</v>
      </c>
      <c r="B68" s="23" t="s">
        <v>218</v>
      </c>
      <c r="C68" s="16" t="s">
        <v>126</v>
      </c>
      <c r="D68" s="7">
        <v>1</v>
      </c>
      <c r="E68" s="7">
        <v>18.73</v>
      </c>
      <c r="F68" s="6">
        <f t="shared" si="1"/>
        <v>18.73</v>
      </c>
      <c r="H68" s="20" t="s">
        <v>218</v>
      </c>
    </row>
    <row r="69" spans="1:8" x14ac:dyDescent="0.3">
      <c r="A69" s="13" t="s">
        <v>54</v>
      </c>
      <c r="B69" s="23" t="s">
        <v>219</v>
      </c>
      <c r="C69" s="17" t="s">
        <v>127</v>
      </c>
      <c r="D69" s="8">
        <v>1</v>
      </c>
      <c r="E69" s="8">
        <v>4.99</v>
      </c>
      <c r="F69" s="6">
        <f t="shared" si="1"/>
        <v>4.99</v>
      </c>
      <c r="H69" s="21" t="s">
        <v>219</v>
      </c>
    </row>
    <row r="70" spans="1:8" x14ac:dyDescent="0.3">
      <c r="A70" s="12" t="s">
        <v>54</v>
      </c>
      <c r="B70" s="23" t="s">
        <v>220</v>
      </c>
      <c r="C70" s="16" t="s">
        <v>128</v>
      </c>
      <c r="D70" s="7">
        <v>1</v>
      </c>
      <c r="E70" s="7">
        <v>4.68</v>
      </c>
      <c r="F70" s="6">
        <f t="shared" si="1"/>
        <v>4.68</v>
      </c>
      <c r="H70" s="20" t="s">
        <v>220</v>
      </c>
    </row>
    <row r="71" spans="1:8" x14ac:dyDescent="0.3">
      <c r="A71" s="13" t="s">
        <v>55</v>
      </c>
      <c r="B71" s="23" t="s">
        <v>221</v>
      </c>
      <c r="C71" s="17" t="s">
        <v>129</v>
      </c>
      <c r="D71" s="8">
        <v>1</v>
      </c>
      <c r="E71" s="8">
        <v>39.72</v>
      </c>
      <c r="F71" s="6">
        <f t="shared" si="1"/>
        <v>39.72</v>
      </c>
      <c r="H71" s="21" t="s">
        <v>221</v>
      </c>
    </row>
    <row r="72" spans="1:8" x14ac:dyDescent="0.3">
      <c r="A72" s="12" t="s">
        <v>46</v>
      </c>
      <c r="B72" s="23" t="s">
        <v>222</v>
      </c>
      <c r="C72" s="16" t="s">
        <v>130</v>
      </c>
      <c r="D72" s="7">
        <v>1</v>
      </c>
      <c r="E72" s="7">
        <v>15.07</v>
      </c>
      <c r="F72" s="6">
        <f t="shared" si="1"/>
        <v>15.07</v>
      </c>
      <c r="H72" s="20" t="s">
        <v>222</v>
      </c>
    </row>
    <row r="73" spans="1:8" x14ac:dyDescent="0.3">
      <c r="A73" s="13" t="s">
        <v>56</v>
      </c>
      <c r="B73" s="23" t="s">
        <v>223</v>
      </c>
      <c r="C73" s="17" t="s">
        <v>131</v>
      </c>
      <c r="D73" s="8">
        <v>1</v>
      </c>
      <c r="E73" s="8">
        <v>45.58</v>
      </c>
      <c r="F73" s="6">
        <f t="shared" si="1"/>
        <v>45.58</v>
      </c>
      <c r="H73" s="21" t="s">
        <v>223</v>
      </c>
    </row>
    <row r="74" spans="1:8" x14ac:dyDescent="0.3">
      <c r="A74" s="12" t="s">
        <v>57</v>
      </c>
      <c r="B74" s="23" t="s">
        <v>224</v>
      </c>
      <c r="C74" s="16" t="s">
        <v>132</v>
      </c>
      <c r="D74" s="7">
        <v>1</v>
      </c>
      <c r="E74" s="7">
        <v>6.43</v>
      </c>
      <c r="F74" s="6">
        <f t="shared" si="1"/>
        <v>6.43</v>
      </c>
      <c r="H74" s="20" t="s">
        <v>224</v>
      </c>
    </row>
    <row r="75" spans="1:8" x14ac:dyDescent="0.3">
      <c r="A75" s="13" t="s">
        <v>11</v>
      </c>
      <c r="B75" s="23" t="s">
        <v>225</v>
      </c>
      <c r="C75" s="17" t="s">
        <v>133</v>
      </c>
      <c r="D75" s="8">
        <v>1</v>
      </c>
      <c r="E75" s="8">
        <v>26.5</v>
      </c>
      <c r="F75" s="6">
        <f t="shared" si="1"/>
        <v>26.5</v>
      </c>
      <c r="H75" s="21" t="s">
        <v>225</v>
      </c>
    </row>
    <row r="76" spans="1:8" x14ac:dyDescent="0.3">
      <c r="A76" s="12" t="s">
        <v>58</v>
      </c>
      <c r="B76" s="23" t="s">
        <v>226</v>
      </c>
      <c r="C76" s="12" t="s">
        <v>134</v>
      </c>
      <c r="D76" s="7">
        <v>2</v>
      </c>
      <c r="E76" s="7">
        <v>12.8</v>
      </c>
      <c r="F76" s="6">
        <f t="shared" si="1"/>
        <v>25.6</v>
      </c>
      <c r="H76" s="20" t="s">
        <v>226</v>
      </c>
    </row>
    <row r="77" spans="1:8" x14ac:dyDescent="0.3">
      <c r="A77" s="13" t="s">
        <v>46</v>
      </c>
      <c r="B77" s="23" t="s">
        <v>227</v>
      </c>
      <c r="C77" s="17" t="s">
        <v>135</v>
      </c>
      <c r="D77" s="8">
        <v>1</v>
      </c>
      <c r="E77" s="8">
        <v>14.16</v>
      </c>
      <c r="F77" s="6">
        <f t="shared" si="1"/>
        <v>14.16</v>
      </c>
      <c r="H77" s="21" t="s">
        <v>227</v>
      </c>
    </row>
    <row r="78" spans="1:8" x14ac:dyDescent="0.3">
      <c r="A78" s="12" t="s">
        <v>39</v>
      </c>
      <c r="B78" s="23" t="s">
        <v>228</v>
      </c>
      <c r="C78" s="16" t="s">
        <v>136</v>
      </c>
      <c r="D78" s="7">
        <v>5</v>
      </c>
      <c r="E78" s="7">
        <v>6.98</v>
      </c>
      <c r="F78" s="6">
        <f t="shared" si="1"/>
        <v>34.900000000000006</v>
      </c>
      <c r="H78" s="20" t="s">
        <v>228</v>
      </c>
    </row>
    <row r="79" spans="1:8" x14ac:dyDescent="0.3">
      <c r="A79" s="13" t="s">
        <v>59</v>
      </c>
      <c r="B79" s="23" t="s">
        <v>229</v>
      </c>
      <c r="C79" s="17" t="s">
        <v>137</v>
      </c>
      <c r="D79" s="8">
        <v>1</v>
      </c>
      <c r="E79" s="8">
        <v>3.76</v>
      </c>
      <c r="F79" s="6">
        <f t="shared" si="1"/>
        <v>3.76</v>
      </c>
      <c r="H79" s="21" t="s">
        <v>229</v>
      </c>
    </row>
    <row r="80" spans="1:8" x14ac:dyDescent="0.3">
      <c r="A80" s="12" t="s">
        <v>60</v>
      </c>
      <c r="B80" s="23" t="s">
        <v>230</v>
      </c>
      <c r="C80" s="16" t="s">
        <v>138</v>
      </c>
      <c r="D80" s="7">
        <v>1</v>
      </c>
      <c r="E80" s="7">
        <v>4.72</v>
      </c>
      <c r="F80" s="6">
        <f t="shared" si="1"/>
        <v>4.72</v>
      </c>
      <c r="H80" s="20" t="s">
        <v>230</v>
      </c>
    </row>
    <row r="81" spans="1:8" x14ac:dyDescent="0.3">
      <c r="A81" s="13" t="s">
        <v>61</v>
      </c>
      <c r="B81" s="23" t="s">
        <v>231</v>
      </c>
      <c r="C81" s="17" t="s">
        <v>139</v>
      </c>
      <c r="D81" s="8">
        <v>2</v>
      </c>
      <c r="E81" s="8">
        <v>61.04</v>
      </c>
      <c r="F81" s="6">
        <f t="shared" si="1"/>
        <v>122.08</v>
      </c>
      <c r="H81" s="21" t="s">
        <v>231</v>
      </c>
    </row>
    <row r="82" spans="1:8" x14ac:dyDescent="0.3">
      <c r="A82" s="12" t="s">
        <v>62</v>
      </c>
      <c r="B82" s="23" t="s">
        <v>232</v>
      </c>
      <c r="C82" s="16" t="s">
        <v>140</v>
      </c>
      <c r="D82" s="7">
        <v>1</v>
      </c>
      <c r="E82" s="7">
        <v>382.26</v>
      </c>
      <c r="F82" s="6">
        <f t="shared" si="1"/>
        <v>382.26</v>
      </c>
      <c r="H82" s="20" t="s">
        <v>232</v>
      </c>
    </row>
    <row r="83" spans="1:8" x14ac:dyDescent="0.3">
      <c r="A83" s="13" t="s">
        <v>63</v>
      </c>
      <c r="B83" s="23" t="s">
        <v>233</v>
      </c>
      <c r="C83" s="17" t="s">
        <v>141</v>
      </c>
      <c r="D83" s="8">
        <v>2</v>
      </c>
      <c r="E83" s="8">
        <v>47.78</v>
      </c>
      <c r="F83" s="6">
        <f t="shared" si="1"/>
        <v>95.56</v>
      </c>
      <c r="H83" s="21" t="s">
        <v>233</v>
      </c>
    </row>
    <row r="84" spans="1:8" x14ac:dyDescent="0.3">
      <c r="A84" s="12" t="s">
        <v>64</v>
      </c>
      <c r="B84" s="23" t="s">
        <v>234</v>
      </c>
      <c r="C84" s="16" t="s">
        <v>142</v>
      </c>
      <c r="D84" s="7">
        <v>5</v>
      </c>
      <c r="E84" s="7">
        <v>9.99</v>
      </c>
      <c r="F84" s="6">
        <f t="shared" si="1"/>
        <v>49.95</v>
      </c>
      <c r="H84" s="20" t="s">
        <v>234</v>
      </c>
    </row>
    <row r="85" spans="1:8" x14ac:dyDescent="0.3">
      <c r="A85" s="13" t="s">
        <v>35</v>
      </c>
      <c r="B85" s="23" t="s">
        <v>235</v>
      </c>
      <c r="C85" s="17" t="s">
        <v>143</v>
      </c>
      <c r="D85" s="8">
        <v>1</v>
      </c>
      <c r="E85" s="8">
        <v>6.02</v>
      </c>
      <c r="F85" s="6">
        <f t="shared" si="1"/>
        <v>6.02</v>
      </c>
      <c r="H85" s="21" t="s">
        <v>235</v>
      </c>
    </row>
    <row r="86" spans="1:8" x14ac:dyDescent="0.3">
      <c r="A86" s="12" t="s">
        <v>63</v>
      </c>
      <c r="B86" s="23" t="s">
        <v>236</v>
      </c>
      <c r="C86" s="16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0" t="s">
        <v>236</v>
      </c>
    </row>
    <row r="87" spans="1:8" x14ac:dyDescent="0.3">
      <c r="A87" s="13" t="s">
        <v>65</v>
      </c>
      <c r="B87" s="23" t="s">
        <v>237</v>
      </c>
      <c r="C87" s="13" t="s">
        <v>78</v>
      </c>
      <c r="D87" s="8">
        <v>4</v>
      </c>
      <c r="E87" s="8">
        <v>11.99</v>
      </c>
      <c r="F87" s="6">
        <f t="shared" si="1"/>
        <v>47.96</v>
      </c>
      <c r="H87" s="21" t="s">
        <v>237</v>
      </c>
    </row>
    <row r="88" spans="1:8" x14ac:dyDescent="0.3">
      <c r="A88" s="12" t="s">
        <v>63</v>
      </c>
      <c r="B88" s="23" t="s">
        <v>238</v>
      </c>
      <c r="C88" s="12" t="s">
        <v>145</v>
      </c>
      <c r="D88" s="7">
        <v>1</v>
      </c>
      <c r="E88" s="7">
        <v>9.99</v>
      </c>
      <c r="F88" s="6">
        <f t="shared" si="1"/>
        <v>9.99</v>
      </c>
      <c r="H88" s="20" t="s">
        <v>238</v>
      </c>
    </row>
    <row r="89" spans="1:8" x14ac:dyDescent="0.3">
      <c r="A89" s="13" t="s">
        <v>66</v>
      </c>
      <c r="B89" s="23" t="s">
        <v>239</v>
      </c>
      <c r="C89" s="17" t="s">
        <v>146</v>
      </c>
      <c r="D89" s="8">
        <v>2</v>
      </c>
      <c r="E89" s="8">
        <v>14.63</v>
      </c>
      <c r="F89" s="6">
        <f t="shared" si="1"/>
        <v>29.26</v>
      </c>
      <c r="H89" s="25" t="s">
        <v>239</v>
      </c>
    </row>
    <row r="90" spans="1:8" x14ac:dyDescent="0.3">
      <c r="A90" s="13" t="s">
        <v>67</v>
      </c>
      <c r="B90" s="23" t="s">
        <v>240</v>
      </c>
      <c r="C90" s="26" t="s">
        <v>147</v>
      </c>
      <c r="D90" s="8">
        <v>4</v>
      </c>
      <c r="E90" s="8">
        <v>167.42</v>
      </c>
      <c r="F90" s="6">
        <f t="shared" si="1"/>
        <v>669.68</v>
      </c>
      <c r="H90" s="25" t="s">
        <v>240</v>
      </c>
    </row>
    <row r="91" spans="1:8" x14ac:dyDescent="0.3">
      <c r="A91" s="13" t="s">
        <v>46</v>
      </c>
      <c r="B91" s="23" t="s">
        <v>241</v>
      </c>
      <c r="C91" s="17" t="s">
        <v>148</v>
      </c>
      <c r="D91" s="8">
        <v>1</v>
      </c>
      <c r="E91" s="8">
        <v>12.61</v>
      </c>
      <c r="F91" s="6">
        <f t="shared" si="1"/>
        <v>12.61</v>
      </c>
      <c r="H91" s="25" t="s">
        <v>241</v>
      </c>
    </row>
    <row r="92" spans="1:8" x14ac:dyDescent="0.3">
      <c r="A92" s="13" t="s">
        <v>68</v>
      </c>
      <c r="B92" s="23"/>
      <c r="C92" s="13" t="s">
        <v>149</v>
      </c>
      <c r="D92" s="8">
        <v>2</v>
      </c>
      <c r="E92" s="8">
        <v>10.45</v>
      </c>
      <c r="F92" s="6">
        <f t="shared" si="1"/>
        <v>20.9</v>
      </c>
      <c r="H92" s="27" t="s">
        <v>78</v>
      </c>
    </row>
    <row r="93" spans="1:8" x14ac:dyDescent="0.3">
      <c r="A93" s="2" t="s">
        <v>264</v>
      </c>
      <c r="B93" s="2" t="s">
        <v>265</v>
      </c>
      <c r="C93" s="28" t="s">
        <v>266</v>
      </c>
      <c r="D93" s="2">
        <v>1</v>
      </c>
      <c r="E93" s="6">
        <v>110</v>
      </c>
      <c r="F93" s="6">
        <f t="shared" ref="F93:F95" si="2">D93*E93</f>
        <v>110</v>
      </c>
      <c r="H93" s="27" t="s">
        <v>267</v>
      </c>
    </row>
    <row r="94" spans="1:8" x14ac:dyDescent="0.3">
      <c r="A94" s="13" t="s">
        <v>268</v>
      </c>
      <c r="B94" s="23" t="s">
        <v>273</v>
      </c>
      <c r="C94" s="13" t="s">
        <v>274</v>
      </c>
      <c r="D94" s="8">
        <v>1</v>
      </c>
      <c r="E94" s="8">
        <v>13.55</v>
      </c>
      <c r="F94" s="6">
        <f t="shared" si="2"/>
        <v>13.55</v>
      </c>
      <c r="H94" s="25" t="s">
        <v>271</v>
      </c>
    </row>
    <row r="95" spans="1:8" x14ac:dyDescent="0.3">
      <c r="A95" s="13" t="s">
        <v>269</v>
      </c>
      <c r="B95" s="23" t="s">
        <v>272</v>
      </c>
      <c r="C95" s="13" t="s">
        <v>275</v>
      </c>
      <c r="D95" s="8">
        <v>1</v>
      </c>
      <c r="E95" s="8">
        <v>8.4700000000000006</v>
      </c>
      <c r="F95" s="6">
        <f t="shared" si="2"/>
        <v>8.4700000000000006</v>
      </c>
      <c r="H95" s="25" t="s">
        <v>270</v>
      </c>
    </row>
    <row r="96" spans="1:8" x14ac:dyDescent="0.3">
      <c r="A96" s="13" t="s">
        <v>68</v>
      </c>
      <c r="B96" s="23"/>
      <c r="C96" s="13" t="s">
        <v>150</v>
      </c>
      <c r="D96" s="8">
        <v>3</v>
      </c>
      <c r="E96" s="8">
        <v>2.1800000000000002</v>
      </c>
      <c r="F96" s="6">
        <f t="shared" si="1"/>
        <v>6.5400000000000009</v>
      </c>
      <c r="H96" s="27" t="s">
        <v>78</v>
      </c>
    </row>
    <row r="97" spans="1:11" x14ac:dyDescent="0.3">
      <c r="A97" s="13" t="s">
        <v>69</v>
      </c>
      <c r="B97" s="23"/>
      <c r="C97" s="13">
        <v>156665159304</v>
      </c>
      <c r="D97" s="8">
        <v>3</v>
      </c>
      <c r="E97" s="8">
        <v>35.97</v>
      </c>
      <c r="F97" s="6">
        <f t="shared" si="1"/>
        <v>107.91</v>
      </c>
      <c r="H97" s="27" t="s">
        <v>78</v>
      </c>
    </row>
    <row r="98" spans="1:11" x14ac:dyDescent="0.3">
      <c r="A98" s="13" t="s">
        <v>67</v>
      </c>
      <c r="B98" s="23" t="s">
        <v>240</v>
      </c>
      <c r="C98" s="13" t="s">
        <v>147</v>
      </c>
      <c r="D98" s="8">
        <v>3</v>
      </c>
      <c r="E98" s="8">
        <v>167.42</v>
      </c>
      <c r="F98" s="6">
        <f t="shared" si="1"/>
        <v>502.26</v>
      </c>
      <c r="H98" s="25" t="s">
        <v>240</v>
      </c>
    </row>
    <row r="99" spans="1:11" x14ac:dyDescent="0.3">
      <c r="A99" s="13" t="s">
        <v>70</v>
      </c>
      <c r="B99" s="23" t="s">
        <v>249</v>
      </c>
      <c r="C99" s="13">
        <v>316529</v>
      </c>
      <c r="D99" s="8">
        <v>1</v>
      </c>
      <c r="E99" s="8">
        <v>405</v>
      </c>
      <c r="F99" s="6">
        <f t="shared" si="1"/>
        <v>405</v>
      </c>
      <c r="H99" s="25" t="s">
        <v>242</v>
      </c>
    </row>
    <row r="100" spans="1:11" x14ac:dyDescent="0.3">
      <c r="A100" s="13" t="s">
        <v>66</v>
      </c>
      <c r="B100" s="23" t="s">
        <v>250</v>
      </c>
      <c r="C100" s="11" t="s">
        <v>151</v>
      </c>
      <c r="D100" s="8">
        <v>1</v>
      </c>
      <c r="E100" s="8">
        <v>37.4</v>
      </c>
      <c r="F100" s="6">
        <f t="shared" si="1"/>
        <v>37.4</v>
      </c>
      <c r="H100" s="25" t="s">
        <v>243</v>
      </c>
    </row>
    <row r="101" spans="1:11" x14ac:dyDescent="0.3">
      <c r="A101" s="13" t="s">
        <v>17</v>
      </c>
      <c r="B101" s="23" t="s">
        <v>244</v>
      </c>
      <c r="C101" s="11" t="s">
        <v>152</v>
      </c>
      <c r="D101" s="8">
        <v>1</v>
      </c>
      <c r="E101" s="8">
        <v>20.91</v>
      </c>
      <c r="F101" s="6">
        <f t="shared" si="1"/>
        <v>20.91</v>
      </c>
      <c r="H101" s="25" t="s">
        <v>244</v>
      </c>
    </row>
    <row r="102" spans="1:11" x14ac:dyDescent="0.3">
      <c r="A102" s="13" t="s">
        <v>61</v>
      </c>
      <c r="B102" s="23" t="s">
        <v>251</v>
      </c>
      <c r="C102" s="11" t="s">
        <v>74</v>
      </c>
      <c r="D102" s="8">
        <v>1</v>
      </c>
      <c r="E102" s="8">
        <v>79.099999999999994</v>
      </c>
      <c r="F102" s="6">
        <f t="shared" si="1"/>
        <v>79.099999999999994</v>
      </c>
      <c r="H102" s="25" t="s">
        <v>245</v>
      </c>
    </row>
    <row r="103" spans="1:11" x14ac:dyDescent="0.3">
      <c r="A103" s="13" t="s">
        <v>71</v>
      </c>
      <c r="B103" s="23" t="s">
        <v>246</v>
      </c>
      <c r="C103" s="17" t="s">
        <v>153</v>
      </c>
      <c r="D103" s="8">
        <v>1</v>
      </c>
      <c r="E103" s="8">
        <v>16.260000000000002</v>
      </c>
      <c r="F103" s="6">
        <f t="shared" si="1"/>
        <v>16.260000000000002</v>
      </c>
      <c r="H103" s="25" t="s">
        <v>246</v>
      </c>
    </row>
    <row r="104" spans="1:11" x14ac:dyDescent="0.3">
      <c r="A104" s="29" t="s">
        <v>258</v>
      </c>
      <c r="B104" s="23" t="s">
        <v>254</v>
      </c>
      <c r="C104" s="10" t="s">
        <v>253</v>
      </c>
      <c r="D104" s="30">
        <v>1</v>
      </c>
      <c r="E104" s="30">
        <v>5.35</v>
      </c>
      <c r="F104" s="6">
        <f>D104*E104</f>
        <v>5.35</v>
      </c>
      <c r="H104" s="31" t="s">
        <v>252</v>
      </c>
    </row>
    <row r="105" spans="1:11" x14ac:dyDescent="0.3">
      <c r="A105" s="29" t="s">
        <v>259</v>
      </c>
      <c r="B105" s="23" t="s">
        <v>256</v>
      </c>
      <c r="C105" s="10" t="s">
        <v>257</v>
      </c>
      <c r="D105" s="30">
        <v>1</v>
      </c>
      <c r="E105" s="30">
        <v>10.75</v>
      </c>
      <c r="F105" s="6">
        <f>D105*E105</f>
        <v>10.75</v>
      </c>
      <c r="H105" s="31" t="s">
        <v>255</v>
      </c>
    </row>
    <row r="106" spans="1:11" x14ac:dyDescent="0.3">
      <c r="A106" s="29" t="s">
        <v>260</v>
      </c>
      <c r="B106" s="23" t="s">
        <v>263</v>
      </c>
      <c r="C106" s="10" t="s">
        <v>262</v>
      </c>
      <c r="D106" s="30">
        <v>1</v>
      </c>
      <c r="E106" s="30">
        <v>6.68</v>
      </c>
      <c r="F106" s="6">
        <v>7.96</v>
      </c>
      <c r="H106" s="31" t="s">
        <v>261</v>
      </c>
    </row>
    <row r="107" spans="1:11" x14ac:dyDescent="0.3">
      <c r="A107" s="13" t="s">
        <v>294</v>
      </c>
      <c r="B107" s="23" t="s">
        <v>276</v>
      </c>
      <c r="C107" s="10" t="s">
        <v>277</v>
      </c>
      <c r="D107" s="8">
        <v>1</v>
      </c>
      <c r="E107" s="8">
        <v>28.78</v>
      </c>
      <c r="F107" s="6">
        <f t="shared" ref="F107:F109" si="3">D107*E107</f>
        <v>28.78</v>
      </c>
      <c r="H107" s="31" t="s">
        <v>278</v>
      </c>
    </row>
    <row r="108" spans="1:11" x14ac:dyDescent="0.3">
      <c r="A108" s="13" t="s">
        <v>293</v>
      </c>
      <c r="B108" s="23" t="s">
        <v>281</v>
      </c>
      <c r="C108" s="10" t="s">
        <v>280</v>
      </c>
      <c r="D108" s="8">
        <v>1</v>
      </c>
      <c r="E108" s="8">
        <v>146.18</v>
      </c>
      <c r="F108" s="6">
        <f t="shared" si="3"/>
        <v>146.18</v>
      </c>
      <c r="H108" s="31" t="s">
        <v>279</v>
      </c>
    </row>
    <row r="109" spans="1:11" x14ac:dyDescent="0.3">
      <c r="A109" s="13" t="s">
        <v>292</v>
      </c>
      <c r="B109" s="23" t="s">
        <v>282</v>
      </c>
      <c r="C109" s="10" t="s">
        <v>283</v>
      </c>
      <c r="D109" s="8">
        <v>1</v>
      </c>
      <c r="E109" s="8">
        <v>36.06</v>
      </c>
      <c r="F109" s="6">
        <f t="shared" si="3"/>
        <v>36.06</v>
      </c>
      <c r="H109" s="32" t="s">
        <v>284</v>
      </c>
    </row>
    <row r="110" spans="1:11" s="24" customFormat="1" ht="13.5" customHeight="1" x14ac:dyDescent="0.3">
      <c r="A110" s="33" t="s">
        <v>291</v>
      </c>
      <c r="B110" s="34" t="s">
        <v>285</v>
      </c>
      <c r="C110" s="35" t="s">
        <v>286</v>
      </c>
      <c r="D110" s="36">
        <v>2</v>
      </c>
      <c r="E110" s="36">
        <v>7.82</v>
      </c>
      <c r="F110" s="37">
        <f t="shared" ref="F110:F114" si="4">D110*E110</f>
        <v>15.64</v>
      </c>
      <c r="H110" s="38" t="s">
        <v>287</v>
      </c>
    </row>
    <row r="111" spans="1:11" ht="14.7" customHeight="1" x14ac:dyDescent="0.3">
      <c r="A111" s="39" t="s">
        <v>17</v>
      </c>
      <c r="B111" s="40" t="s">
        <v>288</v>
      </c>
      <c r="C111" s="41" t="s">
        <v>289</v>
      </c>
      <c r="D111" s="42">
        <v>2</v>
      </c>
      <c r="E111" s="42">
        <v>14.99</v>
      </c>
      <c r="F111" s="43">
        <f t="shared" si="4"/>
        <v>29.98</v>
      </c>
      <c r="G111" s="23"/>
      <c r="H111" s="44" t="s">
        <v>290</v>
      </c>
      <c r="I111" s="23"/>
      <c r="J111" s="23"/>
      <c r="K111" s="23"/>
    </row>
    <row r="112" spans="1:11" x14ac:dyDescent="0.3">
      <c r="A112" s="13" t="s">
        <v>61</v>
      </c>
      <c r="B112" s="23" t="s">
        <v>251</v>
      </c>
      <c r="C112" s="11" t="s">
        <v>74</v>
      </c>
      <c r="D112" s="8">
        <v>1</v>
      </c>
      <c r="E112" s="8">
        <v>79.099999999999994</v>
      </c>
      <c r="F112" s="6">
        <f t="shared" si="4"/>
        <v>79.099999999999994</v>
      </c>
      <c r="H112" s="21" t="s">
        <v>245</v>
      </c>
    </row>
    <row r="113" spans="1:11" x14ac:dyDescent="0.3">
      <c r="A113" s="13" t="s">
        <v>17</v>
      </c>
      <c r="B113" s="23" t="s">
        <v>296</v>
      </c>
      <c r="C113" s="10" t="s">
        <v>297</v>
      </c>
      <c r="D113" s="8">
        <v>1</v>
      </c>
      <c r="E113" s="8">
        <v>18.309999999999999</v>
      </c>
      <c r="F113" s="6">
        <f t="shared" si="4"/>
        <v>18.309999999999999</v>
      </c>
      <c r="H113" s="1" t="s">
        <v>295</v>
      </c>
    </row>
    <row r="114" spans="1:11" x14ac:dyDescent="0.3">
      <c r="A114" s="13" t="s">
        <v>66</v>
      </c>
      <c r="B114" s="23" t="s">
        <v>250</v>
      </c>
      <c r="C114" s="11" t="s">
        <v>151</v>
      </c>
      <c r="D114" s="8">
        <v>1</v>
      </c>
      <c r="E114" s="8">
        <v>37.4</v>
      </c>
      <c r="F114" s="6">
        <f t="shared" si="4"/>
        <v>37.4</v>
      </c>
      <c r="H114" s="21" t="s">
        <v>243</v>
      </c>
    </row>
    <row r="115" spans="1:11" x14ac:dyDescent="0.3">
      <c r="A115" s="13"/>
      <c r="B115" s="23"/>
      <c r="C115" s="10"/>
      <c r="D115" s="8"/>
      <c r="E115" s="8"/>
      <c r="F115" s="6">
        <f t="shared" ref="F115:F120" si="5">D115*E115</f>
        <v>0</v>
      </c>
      <c r="H115" s="10"/>
    </row>
    <row r="116" spans="1:11" ht="15.6" customHeight="1" x14ac:dyDescent="0.3">
      <c r="A116" s="39" t="s">
        <v>302</v>
      </c>
      <c r="B116" s="40" t="s">
        <v>288</v>
      </c>
      <c r="C116" s="41" t="s">
        <v>289</v>
      </c>
      <c r="D116" s="42">
        <v>1</v>
      </c>
      <c r="E116" s="42">
        <v>14.99</v>
      </c>
      <c r="F116" s="43">
        <f t="shared" si="5"/>
        <v>14.99</v>
      </c>
      <c r="G116" s="23"/>
      <c r="H116" s="44" t="s">
        <v>290</v>
      </c>
    </row>
    <row r="117" spans="1:11" x14ac:dyDescent="0.3">
      <c r="A117" s="13" t="s">
        <v>298</v>
      </c>
      <c r="B117" s="23" t="s">
        <v>299</v>
      </c>
      <c r="C117" s="10" t="s">
        <v>300</v>
      </c>
      <c r="D117" s="8">
        <v>3</v>
      </c>
      <c r="E117" s="8">
        <v>6.37</v>
      </c>
      <c r="F117" s="6">
        <f t="shared" si="5"/>
        <v>19.11</v>
      </c>
      <c r="H117" s="1" t="s">
        <v>301</v>
      </c>
    </row>
    <row r="118" spans="1:11" x14ac:dyDescent="0.3">
      <c r="A118" s="13" t="s">
        <v>304</v>
      </c>
      <c r="B118" s="45" t="s">
        <v>305</v>
      </c>
      <c r="C118" s="10"/>
      <c r="D118" s="8">
        <v>1</v>
      </c>
      <c r="E118" s="8">
        <v>14.79</v>
      </c>
      <c r="F118" s="6">
        <f t="shared" si="5"/>
        <v>14.79</v>
      </c>
      <c r="H118" s="1" t="s">
        <v>303</v>
      </c>
    </row>
    <row r="119" spans="1:11" x14ac:dyDescent="0.3">
      <c r="A119" s="13"/>
      <c r="B119" s="23"/>
      <c r="C119" s="10"/>
      <c r="D119" s="8"/>
      <c r="E119" s="8"/>
      <c r="F119" s="6">
        <f t="shared" si="5"/>
        <v>0</v>
      </c>
      <c r="H119" s="10"/>
    </row>
    <row r="120" spans="1:11" x14ac:dyDescent="0.3">
      <c r="A120" s="46" t="s">
        <v>307</v>
      </c>
      <c r="B120" s="48" t="s">
        <v>308</v>
      </c>
      <c r="C120" s="49" t="s">
        <v>313</v>
      </c>
      <c r="D120" s="8">
        <v>2</v>
      </c>
      <c r="E120" s="8">
        <v>85.47</v>
      </c>
      <c r="F120" s="50">
        <f t="shared" si="5"/>
        <v>170.94</v>
      </c>
      <c r="G120" s="51"/>
      <c r="H120" s="53" t="s">
        <v>306</v>
      </c>
      <c r="I120" s="51"/>
      <c r="J120" s="51"/>
      <c r="K120" s="51"/>
    </row>
    <row r="121" spans="1:11" x14ac:dyDescent="0.3">
      <c r="A121" s="46" t="s">
        <v>309</v>
      </c>
      <c r="B121" s="48" t="s">
        <v>311</v>
      </c>
      <c r="C121" s="49" t="s">
        <v>312</v>
      </c>
      <c r="D121" s="8">
        <v>1</v>
      </c>
      <c r="E121" s="8">
        <v>90.93</v>
      </c>
      <c r="F121" s="50">
        <f t="shared" ref="F121:F128" si="6">D121*E121</f>
        <v>90.93</v>
      </c>
      <c r="G121" s="51"/>
      <c r="H121" s="1" t="s">
        <v>310</v>
      </c>
      <c r="I121" s="51"/>
      <c r="J121" s="51"/>
      <c r="K121" s="51"/>
    </row>
    <row r="122" spans="1:11" x14ac:dyDescent="0.3">
      <c r="A122" s="46"/>
      <c r="B122" s="48"/>
      <c r="C122" s="49"/>
      <c r="D122" s="8"/>
      <c r="E122" s="8"/>
      <c r="F122" s="50">
        <f t="shared" si="6"/>
        <v>0</v>
      </c>
      <c r="G122" s="51"/>
      <c r="H122" s="52"/>
      <c r="I122" s="51"/>
      <c r="J122" s="51"/>
      <c r="K122" s="51"/>
    </row>
    <row r="123" spans="1:11" x14ac:dyDescent="0.3">
      <c r="A123" s="46"/>
      <c r="B123" s="48"/>
      <c r="C123" s="49"/>
      <c r="D123" s="8"/>
      <c r="E123" s="8"/>
      <c r="F123" s="50">
        <f t="shared" si="6"/>
        <v>0</v>
      </c>
      <c r="G123" s="51"/>
      <c r="H123" s="52"/>
      <c r="I123" s="51"/>
      <c r="J123" s="51"/>
      <c r="K123" s="51"/>
    </row>
    <row r="124" spans="1:11" x14ac:dyDescent="0.3">
      <c r="A124" s="46"/>
      <c r="B124" s="48"/>
      <c r="C124" s="49"/>
      <c r="D124" s="8"/>
      <c r="E124" s="8"/>
      <c r="F124" s="50">
        <f t="shared" si="6"/>
        <v>0</v>
      </c>
      <c r="G124" s="51"/>
      <c r="H124" s="52"/>
      <c r="I124" s="51"/>
      <c r="J124" s="51"/>
      <c r="K124" s="51"/>
    </row>
    <row r="125" spans="1:11" x14ac:dyDescent="0.3">
      <c r="A125" s="46"/>
      <c r="B125" s="48"/>
      <c r="C125" s="49"/>
      <c r="D125" s="8"/>
      <c r="E125" s="8"/>
      <c r="F125" s="50">
        <f t="shared" si="6"/>
        <v>0</v>
      </c>
      <c r="G125" s="51"/>
      <c r="H125" s="52"/>
      <c r="I125" s="51"/>
      <c r="J125" s="51"/>
      <c r="K125" s="51"/>
    </row>
    <row r="126" spans="1:11" x14ac:dyDescent="0.3">
      <c r="A126" s="46"/>
      <c r="B126" s="48"/>
      <c r="C126" s="49"/>
      <c r="D126" s="8"/>
      <c r="E126" s="8"/>
      <c r="F126" s="50">
        <f t="shared" si="6"/>
        <v>0</v>
      </c>
      <c r="G126" s="51"/>
      <c r="H126" s="52"/>
      <c r="I126" s="51"/>
      <c r="J126" s="51"/>
      <c r="K126" s="51"/>
    </row>
    <row r="127" spans="1:11" x14ac:dyDescent="0.3">
      <c r="A127" s="46"/>
      <c r="B127" s="48"/>
      <c r="C127" s="49"/>
      <c r="D127" s="8"/>
      <c r="E127" s="8"/>
      <c r="F127" s="50">
        <f t="shared" si="6"/>
        <v>0</v>
      </c>
      <c r="G127" s="51"/>
      <c r="H127" s="52"/>
      <c r="I127" s="51"/>
      <c r="J127" s="51"/>
      <c r="K127" s="51"/>
    </row>
    <row r="128" spans="1:11" x14ac:dyDescent="0.3">
      <c r="A128" s="47"/>
      <c r="B128" s="48"/>
      <c r="C128" s="49"/>
      <c r="D128" s="30"/>
      <c r="E128" s="30"/>
      <c r="F128" s="50">
        <f t="shared" si="6"/>
        <v>0</v>
      </c>
      <c r="G128" s="51"/>
      <c r="H128" s="52"/>
      <c r="I128" s="51"/>
      <c r="J128" s="51"/>
      <c r="K128" s="51"/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  <hyperlink ref="H112" r:id="rId105" xr:uid="{9B1F77AB-62D5-44F5-A9D0-42268AD5ABAC}"/>
    <hyperlink ref="H113" r:id="rId106" display="https://www.grainger.com/product/Compression-Fitting-Coupling-20XM55" xr:uid="{EBAF2888-369A-453C-B808-5B36A12DBEF6}"/>
    <hyperlink ref="H114" r:id="rId107" xr:uid="{2F0D0D38-652B-44CC-BB9F-CAB0DB93A115}"/>
    <hyperlink ref="H116" r:id="rId108" display="https://www.grainger.com/product/20KF99?RIID=51819294775&amp;GID=729415832&amp;mid=OrderConfirmation_REST&amp;rfe=a98025ace82cfe3e9959eb0e2dd5f9501b4a446af591eb4540e15aea507809d7&amp;gucid=EMT:11126144:Item:CSM-323&amp;emcid=NA:Item" xr:uid="{2C0D4D21-381D-4DE0-8627-C5CDD08AC966}"/>
    <hyperlink ref="H117" r:id="rId109" display="https://www.grainger.com/product/Compression-Lug-3-8-in-Stud-24C366" xr:uid="{969E4A0C-E52F-4A17-A6F5-A3D01F24676B}"/>
    <hyperlink ref="H118" r:id="rId110" display="https://www.digikey.com/en/products/detail/advantech-corporation/bb-mdr-40-48/7426468" xr:uid="{65E538F7-DA33-4388-B23E-404C55813446}"/>
    <hyperlink ref="H120" r:id="rId111" display="https://www.grainger.com/product/Metal-Pipe-Flange-Flange-60WJ74" xr:uid="{851EBC08-2ED2-4124-B23F-E667A9F9321B}"/>
    <hyperlink ref="H121" r:id="rId112" display="https://www.digikey.com/en/products/detail/pulse-egston/N1HLR-2700MV-KA-5V/29410171?gclid=d0e0296f6f231fb67a4543cf4f2a21d9&amp;gclsrc=3p.ds&amp;msclkid=d0e0296f6f231fb67a4543cf4f2a21d9" xr:uid="{54E9C926-24F1-4758-853F-BD129F6EBDFF}"/>
  </hyperlinks>
  <pageMargins left="0.7" right="0.7" top="0.75" bottom="0.75" header="0.3" footer="0.3"/>
  <pageSetup orientation="portrait" r:id="rId113"/>
  <tableParts count="1">
    <tablePart r:id="rId1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Drew Huebner</cp:lastModifiedBy>
  <cp:lastPrinted>2025-05-01T19:35:57Z</cp:lastPrinted>
  <dcterms:created xsi:type="dcterms:W3CDTF">2025-03-06T14:44:50Z</dcterms:created>
  <dcterms:modified xsi:type="dcterms:W3CDTF">2026-09-09T22:12:18Z</dcterms:modified>
</cp:coreProperties>
</file>